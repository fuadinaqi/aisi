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etunjuk" sheetId="1" state="visible" r:id="rId1"/>
    <sheet xmlns:r="http://schemas.openxmlformats.org/officeDocument/2006/relationships" name="02_Akun_Seed" sheetId="2" state="visible" r:id="rId2"/>
    <sheet xmlns:r="http://schemas.openxmlformats.org/officeDocument/2006/relationships" name="03_Matriks_Akses" sheetId="3" state="visible" r:id="rId3"/>
    <sheet xmlns:r="http://schemas.openxmlformats.org/officeDocument/2006/relationships" name="04_Test_Cases" sheetId="4" state="visible" r:id="rId4"/>
    <sheet xmlns:r="http://schemas.openxmlformats.org/officeDocument/2006/relationships" name="05_Ringkasan" sheetId="5" state="visible" r:id="rId5"/>
    <sheet xmlns:r="http://schemas.openxmlformats.org/officeDocument/2006/relationships" name="06_Checklist_Cepat" sheetId="6" state="visible" r:id="rId6"/>
    <sheet xmlns:r="http://schemas.openxmlformats.org/officeDocument/2006/relationships" name="07_Bug_Log" sheetId="7" state="visible" r:id="rId7"/>
    <sheet xmlns:r="http://schemas.openxmlformats.org/officeDocument/2006/relationships" name="08_Test_Cases_P1" sheetId="8" state="visible" r:id="rId8"/>
    <sheet xmlns:r="http://schemas.openxmlformats.org/officeDocument/2006/relationships" name="09_Checklist_P1" sheetId="9" state="visible" r:id="rId9"/>
  </sheets>
  <definedNames>
    <definedName name="_xlnm._FilterDatabase" localSheetId="3" hidden="1">'04_Test_Cases'!$A$4:$N$109</definedName>
    <definedName name="_xlnm._FilterDatabase" localSheetId="7" hidden="1">'08_Test_Cases_P1'!$A$4:$N$50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i val="1"/>
      <color rgb="005D6D7E"/>
      <sz val="10"/>
    </font>
    <font>
      <name val="Calibri"/>
      <b val="1"/>
      <color rgb="001B4F72"/>
      <sz val="11"/>
    </font>
    <font>
      <name val="Calibri"/>
      <sz val="10"/>
    </font>
    <font>
      <name val="Calibri"/>
      <i val="1"/>
      <color rgb="00C0392B"/>
      <sz val="10"/>
    </font>
    <font>
      <name val="Calibri"/>
      <b val="1"/>
      <color rgb="00FFFFFF"/>
      <sz val="11"/>
    </font>
    <font>
      <name val="Calibri"/>
      <b val="1"/>
      <color rgb="002874A6"/>
      <sz val="12"/>
    </font>
    <font>
      <name val="Calibri"/>
      <i val="1"/>
      <sz val="9"/>
    </font>
    <font>
      <name val="Calibri"/>
      <sz val="9"/>
    </font>
    <font>
      <name val="Calibri"/>
      <b val="1"/>
      <sz val="11"/>
    </font>
    <font>
      <name val="Calibri"/>
      <sz val="11"/>
    </font>
    <font>
      <i val="1"/>
      <color rgb="005D6D7E"/>
      <sz val="9"/>
    </font>
  </fonts>
  <fills count="12">
    <fill>
      <patternFill/>
    </fill>
    <fill>
      <patternFill patternType="gray125"/>
    </fill>
    <fill>
      <patternFill patternType="solid">
        <fgColor rgb="00D4E6F1"/>
      </patternFill>
    </fill>
    <fill>
      <patternFill patternType="solid">
        <fgColor rgb="001B4F72"/>
      </patternFill>
    </fill>
    <fill>
      <patternFill patternType="solid">
        <fgColor rgb="00D5F5E3"/>
      </patternFill>
    </fill>
    <fill>
      <patternFill patternType="solid">
        <fgColor rgb="00F5B7B1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82E0AA"/>
      </patternFill>
    </fill>
    <fill>
      <patternFill patternType="solid">
        <fgColor rgb="00F1948A"/>
      </patternFill>
    </fill>
    <fill>
      <patternFill patternType="solid">
        <fgColor rgb="00F7DC6F"/>
      </patternFill>
    </fill>
    <fill>
      <patternFill patternType="solid">
        <fgColor rgb="00AED6F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  <xf numFmtId="164" fontId="11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2" fillId="0" borderId="0" pivotButton="0" quotePrefix="0" xfId="0"/>
    <xf numFmtId="0" fontId="9" fillId="8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3" fillId="2" borderId="1" pivotButton="0" quotePrefix="0" xfId="0"/>
    <xf numFmtId="0" fontId="9" fillId="11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82E0AA"/>
        </patternFill>
      </fill>
    </dxf>
    <dxf>
      <fill>
        <patternFill patternType="solid">
          <fgColor rgb="00F1948A"/>
        </patternFill>
      </fill>
    </dxf>
    <dxf>
      <fill>
        <patternFill patternType="solid">
          <fgColor rgb="00F7DC6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AISI — Manual Test Plan (P0 Only)</t>
        </is>
      </c>
    </row>
    <row r="2">
      <c r="A2" s="2" t="inlineStr">
        <is>
          <t>Dibuat: 2026-07-31 | Scope: Critical / Smoke path saja | Stack: Vite (:5173) + Go API (:4000)</t>
        </is>
      </c>
    </row>
    <row r="4" ht="45" customHeight="1">
      <c r="A4" s="3" t="inlineStr">
        <is>
          <t>Tujuan</t>
        </is>
      </c>
      <c r="B4" s="4" t="inlineStr">
        <is>
          <t>Dokumen ini adalah rencana uji manual komprehensif untuk case prioritas P0 (critical smoke + happy path inti + failure kritis) pada aplikasi AISI.</t>
        </is>
      </c>
    </row>
    <row r="5" ht="45" customHeight="1">
      <c r="A5" s="3" t="inlineStr">
        <is>
          <t>Cakupan P0 + P1</t>
        </is>
      </c>
      <c r="B5" s="4" t="inlineStr">
        <is>
          <t>AUTH, ROLE/NAV/ACL, USERS, INVITATIONS, SCHOOLS, KELOMPOK, EVALUATIONS. P0: AUTH–EVAL inti. P1: Agenda, Materi, Analitik, Mutabaah, IC, KKS, Config, Notifikasi, Leaderboard (lihat sheet P1 / filter Prioritas).</t>
        </is>
      </c>
    </row>
    <row r="6" ht="90" customHeight="1">
      <c r="A6" s="3" t="inlineStr">
        <is>
          <t>Prasyarat lingkungan</t>
        </is>
      </c>
      <c r="B6" s="4" t="inlineStr">
        <is>
          <t>1) Postgres jalan + pnpm db:deploy
2) Seed demo: pnpm db:seed
3) API Go di :4000
4) Frontend Vite di :5173
5) Browser Chrome/Edge; gunakan Incognito per role</t>
        </is>
      </c>
    </row>
    <row r="7" ht="120" customHeight="1">
      <c r="A7" s="3" t="inlineStr">
        <is>
          <t>Cara memakai sheet</t>
        </is>
      </c>
      <c r="B7" s="4" t="inlineStr">
        <is>
          <t>1) Baca 02_Akun_Seed untuk kredensial
2) Lihat 03_Matriks_Akses untuk ekspektasi menu/role
3) Eksekusi case di 04_Test_Cases sesuai urutan Case ID
4) Isi Status, Actual Result, Tester, Tanggal
5) Pantau ringkasan di 05_Ringkasan
6) Smoke cepat: 06_Checklist_Cepat
7) Catat bug di 07_Bug_Log</t>
        </is>
      </c>
    </row>
    <row r="8" ht="45" customHeight="1">
      <c r="A8" s="3" t="inlineStr">
        <is>
          <t>Konvensi Status</t>
        </is>
      </c>
      <c r="B8" s="4" t="inlineStr">
        <is>
          <t>Not Run | Pass | Fail | Blocked | Skip</t>
        </is>
      </c>
    </row>
    <row r="9" ht="45" customHeight="1">
      <c r="A9" s="3" t="inlineStr">
        <is>
          <t>Konvensi Tipe</t>
        </is>
      </c>
      <c r="B9" s="4" t="inlineStr">
        <is>
          <t>Happy = alur sukses utama | Negatif = validasi/error/ACL | Smoke = cek buka halaman &amp; tidak blank/crash</t>
        </is>
      </c>
    </row>
    <row r="10" ht="45" customHeight="1">
      <c r="A10" s="3" t="inlineStr">
        <is>
          <t>Urutan eksekusi</t>
        </is>
      </c>
      <c r="B10" s="4" t="inlineStr">
        <is>
          <t>AUTH → ROLE → USERS → INVI → SCHOOLS → KELOMPOK → EVAL → E2E</t>
        </is>
      </c>
    </row>
    <row r="11" ht="45" customHeight="1">
      <c r="A11" s="3" t="inlineStr">
        <is>
          <t>Catatan undangan email</t>
        </is>
      </c>
      <c r="B11" s="4" t="inlineStr">
        <is>
          <t>Di lokal, email Resend bisa kosong — cek log console API untuk link set-password / accept-role. Token seed ada di sheet Akun.</t>
        </is>
      </c>
    </row>
    <row r="12" ht="45" customHeight="1">
      <c r="A12" s="3" t="inlineStr">
        <is>
          <t>Referensi repo</t>
        </is>
      </c>
      <c r="B12" s="4" t="inlineStr">
        <is>
          <t>docs/E2E_MATRIX.md, docs/STAGING.md, apps/web-vite/e2e/fixtures/users.ts, App.tsx routes</t>
        </is>
      </c>
    </row>
    <row r="13" ht="45" customHeight="1">
      <c r="A13" s="3" t="inlineStr">
        <is>
          <t>Kriteria hijau P0</t>
        </is>
      </c>
      <c r="B13" s="4" t="inlineStr">
        <is>
          <t>Semua case P0 = Pass (atau Skip beralasan). Tidak ada blank page / console pageerror kritis pada smoke nav 5 role. E2E-01 Pass sebelum cutover staging.</t>
        </is>
      </c>
    </row>
    <row r="15" ht="70" customHeight="1">
      <c r="A15" s="31" t="inlineStr">
        <is>
          <t>Update fitur P1</t>
        </is>
      </c>
      <c r="B15" s="27" t="inlineStr">
        <is>
          <t>Ditambah 2026-07-31: case P1 untuk AGENDA (EVT), MATERI (MAT), ANALITIK (ANL), MUTABAAH (MUT), IC, KKS, CONFIG (CFG), NOTIFIKASI (NTF), LEADERBOARD (LDR), plus journey E2E-P1. Filter kolom Prioritas = P1 di sheet 04_Test_Cases atau lihat sheet 08_Test_Cases_P1. Urutan saran: CFG → MUT/IC → EVT → MAT → ANL → KKS → NTF → LDR.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  <col width="18" customWidth="1" min="4" max="4"/>
    <col width="70" customWidth="1" min="5" max="5"/>
    <col width="22" customWidth="1" min="6" max="6"/>
  </cols>
  <sheetData>
    <row r="1">
      <c r="A1" s="1" t="inlineStr">
        <is>
          <t>Akun Seed untuk Uji Manual (dari packages/shared/prisma/seed.ts)</t>
        </is>
      </c>
    </row>
    <row r="2">
      <c r="A2" s="5" t="inlineStr">
        <is>
          <t>Peringatan: password seed hanya untuk lokal/demo. Jangan pakai di production tanpa rotasi.</t>
        </is>
      </c>
    </row>
    <row r="4">
      <c r="A4" s="6" t="inlineStr">
        <is>
          <t>Role</t>
        </is>
      </c>
      <c r="B4" s="6" t="inlineStr">
        <is>
          <t>Label</t>
        </is>
      </c>
      <c r="C4" s="6" t="inlineStr">
        <is>
          <t>Email</t>
        </is>
      </c>
      <c r="D4" s="6" t="inlineStr">
        <is>
          <t>Password</t>
        </is>
      </c>
      <c r="E4" s="6" t="inlineStr">
        <is>
          <t>Catatan Penggunaan P0</t>
        </is>
      </c>
      <c r="F4" s="6" t="inlineStr">
        <is>
          <t>Primary Active Role</t>
        </is>
      </c>
    </row>
    <row r="5" ht="35" customHeight="1">
      <c r="A5" s="4" t="inlineStr">
        <is>
          <t>SUPERADMIN</t>
        </is>
      </c>
      <c r="B5" s="4" t="inlineStr">
        <is>
          <t>Superadmin</t>
        </is>
      </c>
      <c r="C5" s="4" t="inlineStr">
        <is>
          <t>fuadinaqi@gmail.com</t>
        </is>
      </c>
      <c r="D5" s="4" t="inlineStr">
        <is>
          <t>!Superadmin123</t>
        </is>
      </c>
      <c r="E5" s="4" t="inlineStr">
        <is>
          <t>Users, undang ADMIN, CRUD sekolah/PJ, undangan, assign/hapus role, nested, config smoke</t>
        </is>
      </c>
      <c r="F5" s="4" t="inlineStr">
        <is>
          <t>SUPERADMIN</t>
        </is>
      </c>
    </row>
    <row r="6" ht="35" customHeight="1">
      <c r="A6" s="4" t="inlineStr">
        <is>
          <t>ADMIN</t>
        </is>
      </c>
      <c r="B6" s="4" t="inlineStr">
        <is>
          <t>Admin</t>
        </is>
      </c>
      <c r="C6" s="4" t="inlineStr">
        <is>
          <t>fuadiproject@gmail.com</t>
        </is>
      </c>
      <c r="D6" s="4" t="inlineStr">
        <is>
          <t>!Admin123</t>
        </is>
      </c>
      <c r="E6" s="4" t="inlineStr">
        <is>
          <t>Sekolah, undang PJ/pembina/anggota, tidak akses /users</t>
        </is>
      </c>
      <c r="F6" s="4" t="inlineStr">
        <is>
          <t>ADMIN</t>
        </is>
      </c>
    </row>
    <row r="7" ht="35" customHeight="1">
      <c r="A7" s="4" t="inlineStr">
        <is>
          <t>PJ_SEKOLAH</t>
        </is>
      </c>
      <c r="B7" s="4" t="inlineStr">
        <is>
          <t>PJ Sekolah</t>
        </is>
      </c>
      <c r="C7" s="4" t="inlineStr">
        <is>
          <t>usamah_sman1@gmail.com</t>
        </is>
      </c>
      <c r="D7" s="4" t="inlineStr">
        <is>
          <t>!Password123</t>
        </is>
      </c>
      <c r="E7" s="4" t="inlineStr">
        <is>
          <t>Scope SMAN 1; buat kelompok; undang pembina; /pembina</t>
        </is>
      </c>
      <c r="F7" s="4" t="inlineStr">
        <is>
          <t>PJ_SEKOLAH</t>
        </is>
      </c>
    </row>
    <row r="8" ht="35" customHeight="1">
      <c r="A8" s="4" t="inlineStr">
        <is>
          <t>PEMBINA</t>
        </is>
      </c>
      <c r="B8" s="4" t="inlineStr">
        <is>
          <t>Pembina</t>
        </is>
      </c>
      <c r="C8" s="4" t="inlineStr">
        <is>
          <t>budi.santoso.sman1.pembina@gmail.com</t>
        </is>
      </c>
      <c r="D8" s="4" t="inlineStr">
        <is>
          <t>!Password123</t>
        </is>
      </c>
      <c r="E8" s="4" t="inlineStr">
        <is>
          <t>Evaluasi mingguan, undang anggota, detail kelompok/anggota</t>
        </is>
      </c>
      <c r="F8" s="4" t="inlineStr">
        <is>
          <t>PEMBINA</t>
        </is>
      </c>
    </row>
    <row r="9" ht="35" customHeight="1">
      <c r="A9" s="4" t="inlineStr">
        <is>
          <t>ANGGOTA</t>
        </is>
      </c>
      <c r="B9" s="4" t="inlineStr">
        <is>
          <t>Anggota</t>
        </is>
      </c>
      <c r="C9" s="4" t="inlineStr">
        <is>
          <t>ahmad.fauzi.sman1.g1@gmail.com</t>
        </is>
      </c>
      <c r="D9" s="4" t="inlineStr">
        <is>
          <t>!Password123</t>
        </is>
      </c>
      <c r="E9" s="4" t="inlineStr">
        <is>
          <t>Login, dashboard, profil; bukan evaluasi/sekolah CRUD</t>
        </is>
      </c>
      <c r="F9" s="4" t="inlineStr">
        <is>
          <t>ANGGOTA</t>
        </is>
      </c>
    </row>
    <row r="10" ht="35" customHeight="1">
      <c r="A10" s="4" t="inlineStr">
        <is>
          <t>PEMBINA+ANGGOTA</t>
        </is>
      </c>
      <c r="B10" s="4" t="inlineStr">
        <is>
          <t>Multi-role</t>
        </is>
      </c>
      <c r="C10" s="4" t="inlineStr">
        <is>
          <t>multi.role.sman1@gmail.com</t>
        </is>
      </c>
      <c r="D10" s="4" t="inlineStr">
        <is>
          <t>!Password123</t>
        </is>
      </c>
      <c r="E10" s="4" t="inlineStr">
        <is>
          <t>Uji RoleSwitcher; default prioritas PEMBINA &gt; ANGGOTA</t>
        </is>
      </c>
      <c r="F10" s="4" t="inlineStr">
        <is>
          <t>PEMBINA (default)</t>
        </is>
      </c>
    </row>
    <row r="12">
      <c r="A12" s="7" t="inlineStr">
        <is>
          <t>Token Seed &amp; Data Referensi</t>
        </is>
      </c>
    </row>
    <row r="13">
      <c r="A13" s="6" t="inlineStr">
        <is>
          <t>Nama</t>
        </is>
      </c>
      <c r="B13" s="6" t="inlineStr">
        <is>
          <t>Nilai</t>
        </is>
      </c>
      <c r="C13" s="6" t="inlineStr">
        <is>
          <t>Cara Pakai</t>
        </is>
      </c>
    </row>
    <row r="14">
      <c r="A14" s="4" t="inlineStr">
        <is>
          <t>SEED_INVITE_TOKEN</t>
        </is>
      </c>
      <c r="B14" s="4" t="inlineStr">
        <is>
          <t>00000000-0000-4000-8000-000000000001</t>
        </is>
      </c>
      <c r="C14" s="4" t="inlineStr">
        <is>
          <t>Buka /set-password?token=&lt;nilai&gt; untuk user undangan baru (jika masih valid)</t>
        </is>
      </c>
    </row>
    <row r="15">
      <c r="A15" s="4" t="inlineStr">
        <is>
          <t>SEED_ACCEPT_ROLE_TOKEN</t>
        </is>
      </c>
      <c r="B15" s="4" t="inlineStr">
        <is>
          <t>00000000-0000-4000-8000-000000000002</t>
        </is>
      </c>
      <c r="C15" s="4" t="inlineStr">
        <is>
          <t>Buka /accept-role?token=&lt;nilai&gt; untuk existing user menerima role tambahan</t>
        </is>
      </c>
    </row>
    <row r="16">
      <c r="A16" s="4" t="inlineStr">
        <is>
          <t>SEED_SCHOOL_NAME</t>
        </is>
      </c>
      <c r="B16" s="4" t="inlineStr">
        <is>
          <t>SMAN 1</t>
        </is>
      </c>
      <c r="C16" s="4" t="inlineStr">
        <is>
          <t>Sekolah utama untuk drill-down nested &amp; scope PJ</t>
        </is>
      </c>
    </row>
    <row r="17">
      <c r="A17" s="4" t="inlineStr">
        <is>
          <t>Invitation expiry</t>
        </is>
      </c>
      <c r="B17" s="4" t="inlineStr">
        <is>
          <t>7 hari</t>
        </is>
      </c>
      <c r="C17" s="4" t="inlineStr">
        <is>
          <t>Undangan kadaluarsa setelah 7 hari dari dibuat</t>
        </is>
      </c>
    </row>
    <row r="18">
      <c r="A18" s="4" t="inlineStr">
        <is>
          <t>Role priority (multi)</t>
        </is>
      </c>
      <c r="B18" s="4" t="inlineStr">
        <is>
          <t>SUPERADMIN &gt; ADMIN &gt; PJ_SEKOLAH &gt; PEMBINA &gt; ANGGOTA</t>
        </is>
      </c>
      <c r="C18" s="4" t="inlineStr">
        <is>
          <t>Menentukan activeRole default saat login</t>
        </is>
      </c>
    </row>
    <row r="21">
      <c r="A21" s="7" t="inlineStr">
        <is>
          <t>Matrix REST CanInvite (aturan undangan)</t>
        </is>
      </c>
    </row>
    <row r="22">
      <c r="A22" s="6" t="inlineStr">
        <is>
          <t>Pengundang</t>
        </is>
      </c>
      <c r="B22" s="6" t="inlineStr">
        <is>
          <t>Boleh mengundang role</t>
        </is>
      </c>
    </row>
    <row r="23">
      <c r="A23" s="4" t="inlineStr">
        <is>
          <t>SUPERADMIN</t>
        </is>
      </c>
      <c r="B23" s="4" t="inlineStr">
        <is>
          <t>ADMIN, PJ_SEKOLAH, PEMBINA, ANGGOTA</t>
        </is>
      </c>
    </row>
    <row r="24">
      <c r="A24" s="4" t="inlineStr">
        <is>
          <t>ADMIN</t>
        </is>
      </c>
      <c r="B24" s="4" t="inlineStr">
        <is>
          <t>PJ_SEKOLAH, PEMBINA, ANGGOTA</t>
        </is>
      </c>
    </row>
    <row r="25">
      <c r="A25" s="4" t="inlineStr">
        <is>
          <t>PJ_SEKOLAH</t>
        </is>
      </c>
      <c r="B25" s="4" t="inlineStr">
        <is>
          <t>PEMBINA</t>
        </is>
      </c>
    </row>
    <row r="26">
      <c r="A26" s="4" t="inlineStr">
        <is>
          <t>PEMBINA</t>
        </is>
      </c>
      <c r="B26" s="4" t="inlineStr">
        <is>
          <t>ANGGOTA</t>
        </is>
      </c>
    </row>
    <row r="27">
      <c r="A27" s="4" t="inlineStr">
        <is>
          <t>ANGGOTA</t>
        </is>
      </c>
      <c r="B27" s="4" t="inlineStr">
        <is>
          <t>— (tidak boleh mengundang)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Matriks Akses UI P0 (ekspektasi menu / fitur per role)</t>
        </is>
      </c>
    </row>
    <row r="2">
      <c r="A2" s="8" t="inlineStr">
        <is>
          <t>Ya = boleh akses via UI | Scope = hanya data ter-assign | — = tidak di menu / RoleGuard redirect | API 403 = UI mungkin terbuka tapi API menolak</t>
        </is>
      </c>
    </row>
    <row r="4">
      <c r="A4" s="6" t="inlineStr">
        <is>
          <t>Halaman / Fitur</t>
        </is>
      </c>
      <c r="B4" s="6" t="inlineStr">
        <is>
          <t>SUPERADMIN</t>
        </is>
      </c>
      <c r="C4" s="6" t="inlineStr">
        <is>
          <t>ADMIN</t>
        </is>
      </c>
      <c r="D4" s="6" t="inlineStr">
        <is>
          <t>PJ_SEKOLAH</t>
        </is>
      </c>
      <c r="E4" s="6" t="inlineStr">
        <is>
          <t>PEMBINA</t>
        </is>
      </c>
      <c r="F4" s="6" t="inlineStr">
        <is>
          <t>ANGGOTA</t>
        </is>
      </c>
      <c r="G4" s="6" t="inlineStr">
        <is>
          <t>Catatan Uji</t>
        </is>
      </c>
    </row>
    <row r="5">
      <c r="A5" s="4" t="inlineStr">
        <is>
          <t>/dashboard</t>
        </is>
      </c>
      <c r="B5" s="9" t="inlineStr">
        <is>
          <t>Ya</t>
        </is>
      </c>
      <c r="C5" s="9" t="inlineStr">
        <is>
          <t>Ya</t>
        </is>
      </c>
      <c r="D5" s="9" t="inlineStr">
        <is>
          <t>Ya</t>
        </is>
      </c>
      <c r="E5" s="9" t="inlineStr">
        <is>
          <t>Ya</t>
        </is>
      </c>
      <c r="F5" s="9" t="inlineStr">
        <is>
          <t>Ya</t>
        </is>
      </c>
      <c r="G5" s="4" t="inlineStr">
        <is>
          <t>Smoke: konten tidak blank</t>
        </is>
      </c>
    </row>
    <row r="6">
      <c r="A6" s="4" t="inlineStr">
        <is>
          <t>/profile</t>
        </is>
      </c>
      <c r="B6" s="9" t="inlineStr">
        <is>
          <t>Ya</t>
        </is>
      </c>
      <c r="C6" s="9" t="inlineStr">
        <is>
          <t>Ya</t>
        </is>
      </c>
      <c r="D6" s="9" t="inlineStr">
        <is>
          <t>Ya</t>
        </is>
      </c>
      <c r="E6" s="9" t="inlineStr">
        <is>
          <t>Ya</t>
        </is>
      </c>
      <c r="F6" s="9" t="inlineStr">
        <is>
          <t>Ya</t>
        </is>
      </c>
      <c r="G6" s="4" t="inlineStr">
        <is>
          <t>Edit profil dasar</t>
        </is>
      </c>
    </row>
    <row r="7">
      <c r="A7" s="4" t="inlineStr">
        <is>
          <t>/notifications</t>
        </is>
      </c>
      <c r="B7" s="9" t="inlineStr">
        <is>
          <t>Ya</t>
        </is>
      </c>
      <c r="C7" s="9" t="inlineStr">
        <is>
          <t>Ya</t>
        </is>
      </c>
      <c r="D7" s="9" t="inlineStr">
        <is>
          <t>Ya</t>
        </is>
      </c>
      <c r="E7" s="9" t="inlineStr">
        <is>
          <t>Ya</t>
        </is>
      </c>
      <c r="F7" s="9" t="inlineStr">
        <is>
          <t>Ya</t>
        </is>
      </c>
      <c r="G7" s="4" t="inlineStr">
        <is>
          <t>Smoke buka halaman</t>
        </is>
      </c>
    </row>
    <row r="8">
      <c r="A8" s="4" t="inlineStr">
        <is>
          <t>/users, /users/invite</t>
        </is>
      </c>
      <c r="B8" s="9" t="inlineStr">
        <is>
          <t>Ya</t>
        </is>
      </c>
      <c r="C8" s="10" t="inlineStr">
        <is>
          <t>—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4" t="inlineStr">
        <is>
          <t>Hanya SUPERADMIN di FE</t>
        </is>
      </c>
    </row>
    <row r="9">
      <c r="A9" s="4" t="inlineStr">
        <is>
          <t>/invitations</t>
        </is>
      </c>
      <c r="B9" s="9" t="inlineStr">
        <is>
          <t>Ya</t>
        </is>
      </c>
      <c r="C9" s="9" t="inlineStr">
        <is>
          <t>Ya*</t>
        </is>
      </c>
      <c r="D9" s="9" t="inlineStr">
        <is>
          <t>Ya*</t>
        </is>
      </c>
      <c r="E9" s="9" t="inlineStr">
        <is>
          <t>Ya*</t>
        </is>
      </c>
      <c r="F9" s="10" t="inlineStr">
        <is>
          <t>—</t>
        </is>
      </c>
      <c r="G9" s="4" t="inlineStr">
        <is>
          <t>RoleGuard: SA/Admin/PJ/Pembina</t>
        </is>
      </c>
    </row>
    <row r="10">
      <c r="A10" s="4" t="inlineStr">
        <is>
          <t>/schools list &amp; detail</t>
        </is>
      </c>
      <c r="B10" s="9" t="inlineStr">
        <is>
          <t>Ya</t>
        </is>
      </c>
      <c r="C10" s="9" t="inlineStr">
        <is>
          <t>Ya</t>
        </is>
      </c>
      <c r="D10" s="11" t="inlineStr">
        <is>
          <t>Scope</t>
        </is>
      </c>
      <c r="E10" s="10" t="inlineStr">
        <is>
          <t>—</t>
        </is>
      </c>
      <c r="F10" s="10" t="inlineStr">
        <is>
          <t>—</t>
        </is>
      </c>
      <c r="G10" s="4" t="inlineStr">
        <is>
          <t>PJ hanya sekolah assign</t>
        </is>
      </c>
    </row>
    <row r="11">
      <c r="A11" s="4" t="inlineStr">
        <is>
          <t>/schools/new</t>
        </is>
      </c>
      <c r="B11" s="9" t="inlineStr">
        <is>
          <t>Ya</t>
        </is>
      </c>
      <c r="C11" s="9" t="inlineStr">
        <is>
          <t>Ya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  <c r="G11" s="4" t="inlineStr">
        <is>
          <t>Buat sekolah + PJ</t>
        </is>
      </c>
    </row>
    <row r="12">
      <c r="A12" s="4" t="inlineStr">
        <is>
          <t>Undang/Ganti/Hapus PJ</t>
        </is>
      </c>
      <c r="B12" s="9" t="inlineStr">
        <is>
          <t>Ya</t>
        </is>
      </c>
      <c r="C12" s="9" t="inlineStr">
        <is>
          <t>Ya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  <c r="G12" s="4" t="inlineStr">
        <is>
          <t>SCH-06, SCH-07</t>
        </is>
      </c>
    </row>
    <row r="13">
      <c r="A13" s="4" t="inlineStr">
        <is>
          <t>Buat/Edit kelompok</t>
        </is>
      </c>
      <c r="B13" s="9" t="inlineStr">
        <is>
          <t>Ya</t>
        </is>
      </c>
      <c r="C13" s="9" t="inlineStr">
        <is>
          <t>Ya</t>
        </is>
      </c>
      <c r="D13" s="9" t="inlineStr">
        <is>
          <t>Ya</t>
        </is>
      </c>
      <c r="E13" s="10" t="inlineStr">
        <is>
          <t>—</t>
        </is>
      </c>
      <c r="F13" s="10" t="inlineStr">
        <is>
          <t>—</t>
        </is>
      </c>
      <c r="G13" s="4" t="inlineStr">
        <is>
          <t>/schools/:id/kelompok/baru</t>
        </is>
      </c>
    </row>
    <row r="14">
      <c r="A14" s="4" t="inlineStr">
        <is>
          <t>Undang/Edit anggota</t>
        </is>
      </c>
      <c r="B14" s="9" t="inlineStr">
        <is>
          <t>Ya</t>
        </is>
      </c>
      <c r="C14" s="9" t="inlineStr">
        <is>
          <t>Ya</t>
        </is>
      </c>
      <c r="D14" s="9" t="inlineStr">
        <is>
          <t>Ya</t>
        </is>
      </c>
      <c r="E14" s="9" t="inlineStr">
        <is>
          <t>Ya</t>
        </is>
      </c>
      <c r="F14" s="10" t="inlineStr">
        <is>
          <t>—</t>
        </is>
      </c>
      <c r="G14" s="4" t="inlineStr">
        <is>
          <t>Gender wajib match kelompok</t>
        </is>
      </c>
    </row>
    <row r="15">
      <c r="A15" s="4" t="inlineStr">
        <is>
          <t>/evaluasi*</t>
        </is>
      </c>
      <c r="B15" s="12" t="inlineStr">
        <is>
          <t>—**</t>
        </is>
      </c>
      <c r="C15" s="12" t="inlineStr">
        <is>
          <t>—**</t>
        </is>
      </c>
      <c r="D15" s="11" t="inlineStr">
        <is>
          <t>Scope baca</t>
        </is>
      </c>
      <c r="E15" s="9" t="inlineStr">
        <is>
          <t>Ya</t>
        </is>
      </c>
      <c r="F15" s="10" t="inlineStr">
        <is>
          <t>—</t>
        </is>
      </c>
      <c r="G15" s="4" t="inlineStr">
        <is>
          <t>Tidak di nav SA/Admin</t>
        </is>
      </c>
    </row>
    <row r="16">
      <c r="A16" s="4" t="inlineStr">
        <is>
          <t>/pembina</t>
        </is>
      </c>
      <c r="B16" s="10" t="inlineStr">
        <is>
          <t>—</t>
        </is>
      </c>
      <c r="C16" s="10" t="inlineStr">
        <is>
          <t>—</t>
        </is>
      </c>
      <c r="D16" s="9" t="inlineStr">
        <is>
          <t>Ya</t>
        </is>
      </c>
      <c r="E16" s="10" t="inlineStr">
        <is>
          <t>—</t>
        </is>
      </c>
      <c r="F16" s="10" t="inlineStr">
        <is>
          <t>—</t>
        </is>
      </c>
      <c r="G16" s="4" t="inlineStr">
        <is>
          <t>Daftar pembina sekolah</t>
        </is>
      </c>
    </row>
    <row r="17">
      <c r="A17" s="4" t="inlineStr">
        <is>
          <t>/config (smoke)</t>
        </is>
      </c>
      <c r="B17" s="9" t="inlineStr">
        <is>
          <t>Ya</t>
        </is>
      </c>
      <c r="C17" s="9" t="inlineStr">
        <is>
          <t>Ya</t>
        </is>
      </c>
      <c r="D17" s="11" t="inlineStr">
        <is>
          <t>IC only</t>
        </is>
      </c>
      <c r="E17" s="11" t="inlineStr">
        <is>
          <t>IC only</t>
        </is>
      </c>
      <c r="F17" s="10" t="inlineStr">
        <is>
          <t>—</t>
        </is>
      </c>
      <c r="G17" s="4" t="inlineStr">
        <is>
          <t>P0: smoke buka untuk SA</t>
        </is>
      </c>
    </row>
    <row r="18">
      <c r="A18" s="4" t="inlineStr">
        <is>
          <t>RoleSwitcher</t>
        </is>
      </c>
      <c r="B18" s="11" t="inlineStr">
        <is>
          <t>jika multi</t>
        </is>
      </c>
      <c r="C18" s="11" t="inlineStr">
        <is>
          <t>jika multi</t>
        </is>
      </c>
      <c r="D18" s="11" t="inlineStr">
        <is>
          <t>jika multi</t>
        </is>
      </c>
      <c r="E18" s="11" t="inlineStr">
        <is>
          <t>jika multi</t>
        </is>
      </c>
      <c r="F18" s="11" t="inlineStr">
        <is>
          <t>jika multi</t>
        </is>
      </c>
      <c r="G18" s="4" t="inlineStr">
        <is>
          <t>Akun multi.role</t>
        </is>
      </c>
    </row>
    <row r="22">
      <c r="A22" s="7" t="inlineStr">
        <is>
          <t>Nav item yang HARUS muncul (smoke ROLE)</t>
        </is>
      </c>
    </row>
    <row r="23">
      <c r="A23" s="6" t="inlineStr">
        <is>
          <t>Role</t>
        </is>
      </c>
      <c r="B23" s="6" t="inlineStr">
        <is>
          <t>Menu yang harus ada (urut sidebar)</t>
        </is>
      </c>
    </row>
    <row r="24" ht="30" customHeight="1">
      <c r="A24" s="4" t="inlineStr">
        <is>
          <t>SUPERADMIN</t>
        </is>
      </c>
      <c r="B24" s="4" t="inlineStr">
        <is>
          <t>Beranda, Sekolah, Pengguna, Undangan, Agenda, Materi, Analitik, KKS, Pengaturan, Notifikasi, Profil</t>
        </is>
      </c>
    </row>
    <row r="25" ht="30" customHeight="1">
      <c r="A25" s="4" t="inlineStr">
        <is>
          <t>ADMIN</t>
        </is>
      </c>
      <c r="B25" s="4" t="inlineStr">
        <is>
          <t>Beranda, Sekolah, Agenda, Materi, Analitik, KKS, Pengaturan, Notifikasi, Profil</t>
        </is>
      </c>
    </row>
    <row r="26" ht="30" customHeight="1">
      <c r="A26" s="4" t="inlineStr">
        <is>
          <t>PJ_SEKOLAH</t>
        </is>
      </c>
      <c r="B26" s="4" t="inlineStr">
        <is>
          <t>Beranda, Sekolah, Pembina, Indikator Capaian, Agenda, Materi, Analitik, KKS, Notifikasi, Profil</t>
        </is>
      </c>
    </row>
    <row r="27" ht="30" customHeight="1">
      <c r="A27" s="4" t="inlineStr">
        <is>
          <t>PEMBINA</t>
        </is>
      </c>
      <c r="B27" s="4" t="inlineStr">
        <is>
          <t>Beranda, Evaluasi, Indikator Capaian, Agenda, Materi, KKS, Notifikasi, Profil</t>
        </is>
      </c>
    </row>
    <row r="28" ht="30" customHeight="1">
      <c r="A28" s="4" t="inlineStr">
        <is>
          <t>ANGGOTA</t>
        </is>
      </c>
      <c r="B28" s="4" t="inlineStr">
        <is>
          <t>Beranda, Mutabaah, Agenda, KKS, Notifikasi, Profil</t>
        </is>
      </c>
    </row>
    <row r="30">
      <c r="A30" s="7" t="inlineStr">
        <is>
          <t>Matriks akses fitur P1 (tambahan)</t>
        </is>
      </c>
    </row>
    <row r="31">
      <c r="A31" s="6" t="inlineStr">
        <is>
          <t>Halaman / Fitur</t>
        </is>
      </c>
      <c r="B31" s="6" t="inlineStr">
        <is>
          <t>SUPERADMIN</t>
        </is>
      </c>
      <c r="C31" s="6" t="inlineStr">
        <is>
          <t>ADMIN</t>
        </is>
      </c>
      <c r="D31" s="6" t="inlineStr">
        <is>
          <t>PJ_SEKOLAH</t>
        </is>
      </c>
      <c r="E31" s="6" t="inlineStr">
        <is>
          <t>PEMBINA</t>
        </is>
      </c>
      <c r="F31" s="6" t="inlineStr">
        <is>
          <t>ANGGOTA</t>
        </is>
      </c>
      <c r="G31" s="6" t="inlineStr">
        <is>
          <t>Catatan Uji</t>
        </is>
      </c>
    </row>
    <row r="32">
      <c r="A32" s="4" t="inlineStr">
        <is>
          <t>/events list</t>
        </is>
      </c>
      <c r="B32" s="9" t="inlineStr">
        <is>
          <t>Ya</t>
        </is>
      </c>
      <c r="C32" s="9" t="inlineStr">
        <is>
          <t>Ya</t>
        </is>
      </c>
      <c r="D32" s="9" t="inlineStr">
        <is>
          <t>Ya</t>
        </is>
      </c>
      <c r="E32" s="9" t="inlineStr">
        <is>
          <t>Ya</t>
        </is>
      </c>
      <c r="F32" s="9" t="inlineStr">
        <is>
          <t>Ya</t>
        </is>
      </c>
      <c r="G32" s="4" t="inlineStr">
        <is>
          <t>EVT</t>
        </is>
      </c>
    </row>
    <row r="33">
      <c r="A33" s="4" t="inlineStr">
        <is>
          <t>Buat event</t>
        </is>
      </c>
      <c r="B33" s="9" t="inlineStr">
        <is>
          <t>Ya</t>
        </is>
      </c>
      <c r="C33" s="9" t="inlineStr">
        <is>
          <t>Ya</t>
        </is>
      </c>
      <c r="D33" s="9" t="inlineStr">
        <is>
          <t>Ya</t>
        </is>
      </c>
      <c r="E33" s="10" t="inlineStr">
        <is>
          <t>—</t>
        </is>
      </c>
      <c r="F33" s="10" t="inlineStr">
        <is>
          <t>—</t>
        </is>
      </c>
      <c r="G33" s="4" t="inlineStr">
        <is>
          <t>EVT-01/02</t>
        </is>
      </c>
    </row>
    <row r="34">
      <c r="A34" s="4" t="inlineStr">
        <is>
          <t>Check-in foto</t>
        </is>
      </c>
      <c r="B34" s="10" t="inlineStr">
        <is>
          <t>—</t>
        </is>
      </c>
      <c r="C34" s="10" t="inlineStr">
        <is>
          <t>—</t>
        </is>
      </c>
      <c r="D34" s="10" t="inlineStr">
        <is>
          <t>—</t>
        </is>
      </c>
      <c r="E34" s="10" t="inlineStr">
        <is>
          <t>—</t>
        </is>
      </c>
      <c r="F34" s="9" t="inlineStr">
        <is>
          <t>Ya</t>
        </is>
      </c>
      <c r="G34" s="4" t="inlineStr">
        <is>
          <t>EVT-03</t>
        </is>
      </c>
    </row>
    <row r="35">
      <c r="A35" s="4" t="inlineStr">
        <is>
          <t>Approve check-in</t>
        </is>
      </c>
      <c r="B35" s="10" t="inlineStr">
        <is>
          <t>—</t>
        </is>
      </c>
      <c r="C35" s="10" t="inlineStr">
        <is>
          <t>—</t>
        </is>
      </c>
      <c r="D35" s="10" t="inlineStr">
        <is>
          <t>—</t>
        </is>
      </c>
      <c r="E35" s="9" t="inlineStr">
        <is>
          <t>Ya</t>
        </is>
      </c>
      <c r="F35" s="10" t="inlineStr">
        <is>
          <t>—</t>
        </is>
      </c>
      <c r="G35" s="4" t="inlineStr">
        <is>
          <t>EVT-04</t>
        </is>
      </c>
    </row>
    <row r="36">
      <c r="A36" s="4" t="inlineStr">
        <is>
          <t>/materi list</t>
        </is>
      </c>
      <c r="B36" s="9" t="inlineStr">
        <is>
          <t>Ya</t>
        </is>
      </c>
      <c r="C36" s="9" t="inlineStr">
        <is>
          <t>Ya</t>
        </is>
      </c>
      <c r="D36" s="9" t="inlineStr">
        <is>
          <t>Ya</t>
        </is>
      </c>
      <c r="E36" s="9" t="inlineStr">
        <is>
          <t>Ya</t>
        </is>
      </c>
      <c r="F36" s="12" t="inlineStr">
        <is>
          <t>—*</t>
        </is>
      </c>
      <c r="G36" s="4" t="inlineStr">
        <is>
          <t xml:space="preserve"> *tidak di nav anggota</t>
        </is>
      </c>
    </row>
    <row r="37">
      <c r="A37" s="4" t="inlineStr">
        <is>
          <t>Buat materi</t>
        </is>
      </c>
      <c r="B37" s="9" t="inlineStr">
        <is>
          <t>Ya</t>
        </is>
      </c>
      <c r="C37" s="9" t="inlineStr">
        <is>
          <t>Ya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  <c r="G37" s="4" t="inlineStr">
        <is>
          <t>MAT-01</t>
        </is>
      </c>
    </row>
    <row r="38">
      <c r="A38" s="4" t="inlineStr">
        <is>
          <t>/analytics</t>
        </is>
      </c>
      <c r="B38" s="9" t="inlineStr">
        <is>
          <t>Ya</t>
        </is>
      </c>
      <c r="C38" s="9" t="inlineStr">
        <is>
          <t>Ya</t>
        </is>
      </c>
      <c r="D38" s="12" t="inlineStr">
        <is>
          <t>Scope</t>
        </is>
      </c>
      <c r="E38" s="10" t="inlineStr">
        <is>
          <t>—</t>
        </is>
      </c>
      <c r="F38" s="10" t="inlineStr">
        <is>
          <t>—</t>
        </is>
      </c>
      <c r="G38" s="4" t="inlineStr">
        <is>
          <t>ANL</t>
        </is>
      </c>
    </row>
    <row r="39">
      <c r="A39" s="4" t="inlineStr">
        <is>
          <t>/mutabaah isi</t>
        </is>
      </c>
      <c r="B39" s="10" t="inlineStr">
        <is>
          <t>—</t>
        </is>
      </c>
      <c r="C39" s="10" t="inlineStr">
        <is>
          <t>—</t>
        </is>
      </c>
      <c r="D39" s="10" t="inlineStr">
        <is>
          <t>—</t>
        </is>
      </c>
      <c r="E39" s="10" t="inlineStr">
        <is>
          <t>—</t>
        </is>
      </c>
      <c r="F39" s="9" t="inlineStr">
        <is>
          <t>Ya</t>
        </is>
      </c>
      <c r="G39" s="4" t="inlineStr">
        <is>
          <t>MUT</t>
        </is>
      </c>
    </row>
    <row r="40">
      <c r="A40" s="4" t="inlineStr">
        <is>
          <t>IC master edit</t>
        </is>
      </c>
      <c r="B40" s="9" t="inlineStr">
        <is>
          <t>Ya</t>
        </is>
      </c>
      <c r="C40" s="9" t="inlineStr">
        <is>
          <t>Ya</t>
        </is>
      </c>
      <c r="D40" s="12" t="inlineStr">
        <is>
          <t>lihat</t>
        </is>
      </c>
      <c r="E40" s="12" t="inlineStr">
        <is>
          <t>lihat</t>
        </is>
      </c>
      <c r="F40" s="10" t="inlineStr">
        <is>
          <t>—</t>
        </is>
      </c>
      <c r="G40" s="4" t="inlineStr">
        <is>
          <t>IC-01</t>
        </is>
      </c>
    </row>
    <row r="41">
      <c r="A41" s="4" t="inlineStr">
        <is>
          <t>IC progress centang</t>
        </is>
      </c>
      <c r="B41" s="10" t="inlineStr">
        <is>
          <t>—</t>
        </is>
      </c>
      <c r="C41" s="10" t="inlineStr">
        <is>
          <t>—</t>
        </is>
      </c>
      <c r="D41" s="10" t="inlineStr">
        <is>
          <t>—</t>
        </is>
      </c>
      <c r="E41" s="9" t="inlineStr">
        <is>
          <t>Ya</t>
        </is>
      </c>
      <c r="F41" s="10" t="inlineStr">
        <is>
          <t>—</t>
        </is>
      </c>
      <c r="G41" s="4" t="inlineStr">
        <is>
          <t>IC-03</t>
        </is>
      </c>
    </row>
    <row r="42">
      <c r="A42" s="4" t="inlineStr">
        <is>
          <t>/kks</t>
        </is>
      </c>
      <c r="B42" s="9" t="inlineStr">
        <is>
          <t>Ya</t>
        </is>
      </c>
      <c r="C42" s="9" t="inlineStr">
        <is>
          <t>Ya</t>
        </is>
      </c>
      <c r="D42" s="9" t="inlineStr">
        <is>
          <t>Ya</t>
        </is>
      </c>
      <c r="E42" s="9" t="inlineStr">
        <is>
          <t>Ya</t>
        </is>
      </c>
      <c r="F42" s="9" t="inlineStr">
        <is>
          <t>Ya</t>
        </is>
      </c>
      <c r="G42" s="4" t="inlineStr">
        <is>
          <t>KKS</t>
        </is>
      </c>
    </row>
    <row r="43">
      <c r="A43" s="4" t="inlineStr">
        <is>
          <t>/config hub</t>
        </is>
      </c>
      <c r="B43" s="9" t="inlineStr">
        <is>
          <t>Ya</t>
        </is>
      </c>
      <c r="C43" s="9" t="inlineStr">
        <is>
          <t>Ya</t>
        </is>
      </c>
      <c r="D43" s="10" t="inlineStr">
        <is>
          <t>—</t>
        </is>
      </c>
      <c r="E43" s="10" t="inlineStr">
        <is>
          <t>—</t>
        </is>
      </c>
      <c r="F43" s="10" t="inlineStr">
        <is>
          <t>—</t>
        </is>
      </c>
      <c r="G43" s="4" t="inlineStr">
        <is>
          <t>CFG</t>
        </is>
      </c>
    </row>
    <row r="44">
      <c r="A44" s="4" t="inlineStr">
        <is>
          <t>/config/mutabaah</t>
        </is>
      </c>
      <c r="B44" s="9" t="inlineStr">
        <is>
          <t>Ya</t>
        </is>
      </c>
      <c r="C44" s="9" t="inlineStr">
        <is>
          <t>Ya</t>
        </is>
      </c>
      <c r="D44" s="10" t="inlineStr">
        <is>
          <t>—</t>
        </is>
      </c>
      <c r="E44" s="10" t="inlineStr">
        <is>
          <t>—</t>
        </is>
      </c>
      <c r="F44" s="10" t="inlineStr">
        <is>
          <t>—</t>
        </is>
      </c>
      <c r="G44" s="4" t="inlineStr">
        <is>
          <t>CFG-02</t>
        </is>
      </c>
    </row>
    <row r="45">
      <c r="A45" s="4" t="inlineStr">
        <is>
          <t>/notifications</t>
        </is>
      </c>
      <c r="B45" s="9" t="inlineStr">
        <is>
          <t>Ya</t>
        </is>
      </c>
      <c r="C45" s="9" t="inlineStr">
        <is>
          <t>Ya</t>
        </is>
      </c>
      <c r="D45" s="9" t="inlineStr">
        <is>
          <t>Ya</t>
        </is>
      </c>
      <c r="E45" s="9" t="inlineStr">
        <is>
          <t>Ya</t>
        </is>
      </c>
      <c r="F45" s="9" t="inlineStr">
        <is>
          <t>Ya</t>
        </is>
      </c>
      <c r="G45" s="4" t="inlineStr">
        <is>
          <t>NTF</t>
        </is>
      </c>
    </row>
    <row r="46">
      <c r="A46" s="4" t="inlineStr">
        <is>
          <t>/leaderboard</t>
        </is>
      </c>
      <c r="B46" s="12" t="inlineStr">
        <is>
          <t>URL</t>
        </is>
      </c>
      <c r="C46" s="12" t="inlineStr">
        <is>
          <t>URL</t>
        </is>
      </c>
      <c r="D46" s="12" t="inlineStr">
        <is>
          <t>URL</t>
        </is>
      </c>
      <c r="E46" s="12" t="inlineStr">
        <is>
          <t>URL</t>
        </is>
      </c>
      <c r="F46" s="12" t="inlineStr">
        <is>
          <t>URL</t>
        </is>
      </c>
      <c r="G46" s="4" t="inlineStr">
        <is>
          <t>tidak di sidebar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0" customWidth="1" min="4" max="4"/>
    <col width="10" customWidth="1" min="5" max="5"/>
    <col width="22" customWidth="1" min="6" max="6"/>
    <col width="36" customWidth="1" min="7" max="7"/>
    <col width="55" customWidth="1" min="8" max="8"/>
    <col width="42" customWidth="1" min="9" max="9"/>
    <col width="28" customWidth="1" min="10" max="10"/>
    <col width="12" customWidth="1" min="11" max="11"/>
    <col width="28" customWidth="1" min="12" max="12"/>
    <col width="14" customWidth="1" min="13" max="13"/>
    <col width="12" customWidth="1" min="14" max="14"/>
  </cols>
  <sheetData>
    <row r="1">
      <c r="A1" s="1" t="inlineStr">
        <is>
          <t>Test Cases Manual P0 — AISI</t>
        </is>
      </c>
    </row>
    <row r="2">
      <c r="A2" s="8" t="inlineStr">
        <is>
          <t>Isi kolom Status / Actual Result / Tester / Tanggal saat eksekusi. Filter kolom Modul atau Role untuk fokus sesi uji.</t>
        </is>
      </c>
    </row>
    <row r="4" ht="30" customHeight="1">
      <c r="A4" s="6" t="inlineStr">
        <is>
          <t>Case ID</t>
        </is>
      </c>
      <c r="B4" s="6" t="inlineStr">
        <is>
          <t>Modul</t>
        </is>
      </c>
      <c r="C4" s="6" t="inlineStr">
        <is>
          <t>Judul Case</t>
        </is>
      </c>
      <c r="D4" s="6" t="inlineStr">
        <is>
          <t>Tipe</t>
        </is>
      </c>
      <c r="E4" s="6" t="inlineStr">
        <is>
          <t>Prioritas</t>
        </is>
      </c>
      <c r="F4" s="6" t="inlineStr">
        <is>
          <t>Role Penguji</t>
        </is>
      </c>
      <c r="G4" s="6" t="inlineStr">
        <is>
          <t>Prekondisi</t>
        </is>
      </c>
      <c r="H4" s="6" t="inlineStr">
        <is>
          <t>Langkah Uji (Cara Test)</t>
        </is>
      </c>
      <c r="I4" s="6" t="inlineStr">
        <is>
          <t>Hasil Diharapkan</t>
        </is>
      </c>
      <c r="J4" s="6" t="inlineStr">
        <is>
          <t>Data Uji</t>
        </is>
      </c>
      <c r="K4" s="6" t="inlineStr">
        <is>
          <t>Status</t>
        </is>
      </c>
      <c r="L4" s="6" t="inlineStr">
        <is>
          <t>Actual Result</t>
        </is>
      </c>
      <c r="M4" s="6" t="inlineStr">
        <is>
          <t>Tester</t>
        </is>
      </c>
      <c r="N4" s="6" t="inlineStr">
        <is>
          <t>Tanggal</t>
        </is>
      </c>
    </row>
    <row r="5" ht="68" customHeight="1">
      <c r="A5" s="13" t="inlineStr">
        <is>
          <t>AUTH-01</t>
        </is>
      </c>
      <c r="B5" s="14" t="inlineStr">
        <is>
          <t>AUTH</t>
        </is>
      </c>
      <c r="C5" s="14" t="inlineStr">
        <is>
          <t>Login sukses SUPERADMIN</t>
        </is>
      </c>
      <c r="D5" s="15" t="inlineStr">
        <is>
          <t>Happy</t>
        </is>
      </c>
      <c r="E5" s="16" t="inlineStr">
        <is>
          <t>P0</t>
        </is>
      </c>
      <c r="F5" s="14" t="inlineStr">
        <is>
          <t>SUPERADMIN</t>
        </is>
      </c>
      <c r="G5" s="14" t="inlineStr">
        <is>
          <t>API+FE jalan; DB seed; logout / jendela Incognito</t>
        </is>
      </c>
      <c r="H5" s="14" t="inlineStr">
        <is>
          <t>1. Buka http://localhost:5173/login
2. Isi email &amp; password Superadmin
3. Klik Login / Masuk
4. Amati URL dan konten dashboard</t>
        </is>
      </c>
      <c r="I5" s="14" t="inlineStr">
        <is>
          <t>Redirect ke /dashboard; sidebar Superadmin tampil; tidak ada error toast; refresh tetap login</t>
        </is>
      </c>
      <c r="J5" s="14" t="inlineStr">
        <is>
          <t>fuadinaqi@gmail.com / !Superadmin123</t>
        </is>
      </c>
      <c r="K5" s="29" t="inlineStr">
        <is>
          <t>Pass</t>
        </is>
      </c>
      <c r="L5" s="14" t="inlineStr"/>
      <c r="M5" s="14" t="inlineStr">
        <is>
          <t>Cursor Agent</t>
        </is>
      </c>
      <c r="N5" s="14" t="inlineStr">
        <is>
          <t>2026-07-31</t>
        </is>
      </c>
    </row>
    <row r="6" ht="56" customHeight="1">
      <c r="A6" s="13" t="inlineStr">
        <is>
          <t>AUTH-02</t>
        </is>
      </c>
      <c r="B6" s="14" t="inlineStr">
        <is>
          <t>AUTH</t>
        </is>
      </c>
      <c r="C6" s="14" t="inlineStr">
        <is>
          <t>Login gagal password salah</t>
        </is>
      </c>
      <c r="D6" s="17" t="inlineStr">
        <is>
          <t>Negatif</t>
        </is>
      </c>
      <c r="E6" s="16" t="inlineStr">
        <is>
          <t>P0</t>
        </is>
      </c>
      <c r="F6" s="14" t="inlineStr">
        <is>
          <t>Semua</t>
        </is>
      </c>
      <c r="G6" s="14" t="inlineStr">
        <is>
          <t>Di halaman /login</t>
        </is>
      </c>
      <c r="H6" s="14" t="inlineStr">
        <is>
          <t>1. Isi email valid (mis. Superadmin)
2. Isi password salah
3. Klik Login</t>
        </is>
      </c>
      <c r="I6" s="14" t="inlineStr">
        <is>
          <t>Tetap di /login; pesan error credentials tampil; tidak masuk dashboard</t>
        </is>
      </c>
      <c r="J6" s="14" t="inlineStr">
        <is>
          <t>email valid + password salah</t>
        </is>
      </c>
      <c r="K6" s="29" t="inlineStr">
        <is>
          <t>Pass</t>
        </is>
      </c>
      <c r="L6" s="14" t="inlineStr"/>
      <c r="M6" s="14" t="inlineStr">
        <is>
          <t>Cursor Agent</t>
        </is>
      </c>
      <c r="N6" s="14" t="inlineStr">
        <is>
          <t>2026-07-31</t>
        </is>
      </c>
    </row>
    <row r="7" ht="68" customHeight="1">
      <c r="A7" s="13" t="inlineStr">
        <is>
          <t>AUTH-03</t>
        </is>
      </c>
      <c r="B7" s="14" t="inlineStr">
        <is>
          <t>AUTH</t>
        </is>
      </c>
      <c r="C7" s="14" t="inlineStr">
        <is>
          <t>Login semua role seed (smoke)</t>
        </is>
      </c>
      <c r="D7" s="18" t="inlineStr">
        <is>
          <t>Smoke</t>
        </is>
      </c>
      <c r="E7" s="16" t="inlineStr">
        <is>
          <t>P0</t>
        </is>
      </c>
      <c r="F7" s="14" t="inlineStr">
        <is>
          <t>Semua role</t>
        </is>
      </c>
      <c r="G7" s="14" t="inlineStr">
        <is>
          <t>5 akun seed tersedia</t>
        </is>
      </c>
      <c r="H7" s="14" t="inlineStr">
        <is>
          <t>Untuk tiap role (SA, Admin, PJ, Pembina, Anggota):
1. Logout jika perlu
2. Login dengan kredensial role
3. Verifikasi landing /dashboard</t>
        </is>
      </c>
      <c r="I7" s="14" t="inlineStr">
        <is>
          <t>Semua role berhasil login ke /dashboard tanpa error</t>
        </is>
      </c>
      <c r="J7" s="14" t="inlineStr">
        <is>
          <t>Lihat sheet 02_Akun_Seed</t>
        </is>
      </c>
      <c r="K7" s="29" t="inlineStr">
        <is>
          <t>Pass</t>
        </is>
      </c>
      <c r="L7" s="14" t="inlineStr"/>
      <c r="M7" s="14" t="inlineStr">
        <is>
          <t>Cursor Agent</t>
        </is>
      </c>
      <c r="N7" s="14" t="inlineStr">
        <is>
          <t>2026-07-31</t>
        </is>
      </c>
    </row>
    <row r="8" ht="68" customHeight="1">
      <c r="A8" s="13" t="inlineStr">
        <is>
          <t>AUTH-04</t>
        </is>
      </c>
      <c r="B8" s="14" t="inlineStr">
        <is>
          <t>AUTH</t>
        </is>
      </c>
      <c r="C8" s="14" t="inlineStr">
        <is>
          <t>Logout dan proteksi route privat</t>
        </is>
      </c>
      <c r="D8" s="15" t="inlineStr">
        <is>
          <t>Happy</t>
        </is>
      </c>
      <c r="E8" s="16" t="inlineStr">
        <is>
          <t>P0</t>
        </is>
      </c>
      <c r="F8" s="14" t="inlineStr">
        <is>
          <t>SUPERADMIN</t>
        </is>
      </c>
      <c r="G8" s="14" t="inlineStr">
        <is>
          <t>Sudah login</t>
        </is>
      </c>
      <c r="H8" s="14" t="inlineStr">
        <is>
          <t>1. Klik Logout
2. Pastikan diarahkan ke /login
3. Ketik URL /dashboard di address bar
4. Tekan Enter</t>
        </is>
      </c>
      <c r="I8" s="14" t="inlineStr">
        <is>
          <t>Setelah logout di /login; akses /dashboard tanpa token redirect ke /login</t>
        </is>
      </c>
      <c r="J8" s="14" t="inlineStr">
        <is>
          <t>—</t>
        </is>
      </c>
      <c r="K8" s="29" t="inlineStr">
        <is>
          <t>Pass</t>
        </is>
      </c>
      <c r="L8" s="14" t="inlineStr"/>
      <c r="M8" s="14" t="inlineStr">
        <is>
          <t>Cursor Agent</t>
        </is>
      </c>
      <c r="N8" s="14" t="inlineStr">
        <is>
          <t>2026-07-31</t>
        </is>
      </c>
    </row>
    <row r="9" ht="80" customHeight="1">
      <c r="A9" s="13" t="inlineStr">
        <is>
          <t>AUTH-05</t>
        </is>
      </c>
      <c r="B9" s="14" t="inlineStr">
        <is>
          <t>AUTH</t>
        </is>
      </c>
      <c r="C9" s="14" t="inlineStr">
        <is>
          <t>Set password dari undangan (token seed)</t>
        </is>
      </c>
      <c r="D9" s="15" t="inlineStr">
        <is>
          <t>Happy</t>
        </is>
      </c>
      <c r="E9" s="16" t="inlineStr">
        <is>
          <t>P0</t>
        </is>
      </c>
      <c r="F9" s="14" t="inlineStr">
        <is>
          <t>Public</t>
        </is>
      </c>
      <c r="G9" s="14" t="inlineStr">
        <is>
          <t>Token seed invite masih valid di DB, atau buat undangan baru lalu ambil token dari log API</t>
        </is>
      </c>
      <c r="H9" s="14" t="inlineStr">
        <is>
          <t>1. Buka /set-password?token=&lt;SEED_INVITE_TOKEN atau token baru&gt;
2. Isi password baru sesuai aturan
3. Konfirmasi password
4. Submit
5. Login dengan email undangan + password baru</t>
        </is>
      </c>
      <c r="I9" s="14" t="inlineStr">
        <is>
          <t>Password tersimpan; user bisa login; role sesuai undangan ter-assign</t>
        </is>
      </c>
      <c r="J9" s="14" t="inlineStr">
        <is>
          <t>Token: 00000000-0000-4000-8000-000000000001 (atau dari log)</t>
        </is>
      </c>
      <c r="K9" s="29" t="inlineStr">
        <is>
          <t>Pass</t>
        </is>
      </c>
      <c r="L9" s="14" t="inlineStr">
        <is>
          <t>token seed sudah USED; set-password sukses diverifikasi via API setelah fix gender</t>
        </is>
      </c>
      <c r="M9" s="14" t="inlineStr">
        <is>
          <t>Cursor Agent</t>
        </is>
      </c>
      <c r="N9" s="14" t="inlineStr">
        <is>
          <t>2026-07-31</t>
        </is>
      </c>
    </row>
    <row r="10" ht="50" customHeight="1">
      <c r="A10" s="13" t="inlineStr">
        <is>
          <t>AUTH-06</t>
        </is>
      </c>
      <c r="B10" s="14" t="inlineStr">
        <is>
          <t>AUTH</t>
        </is>
      </c>
      <c r="C10" s="14" t="inlineStr">
        <is>
          <t>Set password token invalid/expired</t>
        </is>
      </c>
      <c r="D10" s="17" t="inlineStr">
        <is>
          <t>Negatif</t>
        </is>
      </c>
      <c r="E10" s="16" t="inlineStr">
        <is>
          <t>P0</t>
        </is>
      </c>
      <c r="F10" s="14" t="inlineStr">
        <is>
          <t>Public</t>
        </is>
      </c>
      <c r="G10" s="14" t="inlineStr">
        <is>
          <t>—</t>
        </is>
      </c>
      <c r="H10" s="14" t="inlineStr">
        <is>
          <t>1. Buka /set-password?token=invalid-token-xyz
2. Coba isi &amp; submit password</t>
        </is>
      </c>
      <c r="I10" s="14" t="inlineStr">
        <is>
          <t>Pesan error token tidak valid/kadaluarsa; password tidak tersimpan</t>
        </is>
      </c>
      <c r="J10" s="14" t="inlineStr">
        <is>
          <t>token=invalid-token-xyz</t>
        </is>
      </c>
      <c r="K10" s="29" t="inlineStr">
        <is>
          <t>Pass</t>
        </is>
      </c>
      <c r="L10" s="14" t="inlineStr"/>
      <c r="M10" s="14" t="inlineStr">
        <is>
          <t>Cursor Agent</t>
        </is>
      </c>
      <c r="N10" s="14" t="inlineStr">
        <is>
          <t>2026-07-31</t>
        </is>
      </c>
    </row>
    <row r="11" ht="68" customHeight="1">
      <c r="A11" s="13" t="inlineStr">
        <is>
          <t>AUTH-07</t>
        </is>
      </c>
      <c r="B11" s="14" t="inlineStr">
        <is>
          <t>AUTH</t>
        </is>
      </c>
      <c r="C11" s="14" t="inlineStr">
        <is>
          <t>Accept role untuk existing user</t>
        </is>
      </c>
      <c r="D11" s="15" t="inlineStr">
        <is>
          <t>Happy</t>
        </is>
      </c>
      <c r="E11" s="16" t="inlineStr">
        <is>
          <t>P0</t>
        </is>
      </c>
      <c r="F11" s="14" t="inlineStr">
        <is>
          <t>Public / existing user</t>
        </is>
      </c>
      <c r="G11" s="14" t="inlineStr">
        <is>
          <t>Token accept-role valid (seed atau undangan ke email existing)</t>
        </is>
      </c>
      <c r="H11" s="14" t="inlineStr">
        <is>
          <t>1. Buka /accept-role?token=&lt;token&gt;
2. Login jika diminta (email harus cocok)
3. Klik Terima / Accept peran
4. Cek RoleSwitcher / profil roles</t>
        </is>
      </c>
      <c r="I11" s="14" t="inlineStr">
        <is>
          <t>Role baru ditambahkan; user bisa switch ke role tersebut</t>
        </is>
      </c>
      <c r="J11" s="14" t="inlineStr">
        <is>
          <t>SEED_ACCEPT_ROLE_TOKEN atau undangan ke email existing</t>
        </is>
      </c>
      <c r="K11" s="29" t="inlineStr">
        <is>
          <t>Pass</t>
        </is>
      </c>
      <c r="L11" s="14" t="inlineStr"/>
      <c r="M11" s="14" t="inlineStr">
        <is>
          <t>Cursor Agent</t>
        </is>
      </c>
      <c r="N11" s="14" t="inlineStr">
        <is>
          <t>2026-07-31</t>
        </is>
      </c>
    </row>
    <row r="12" ht="56" customHeight="1">
      <c r="A12" s="13" t="inlineStr">
        <is>
          <t>AUTH-08</t>
        </is>
      </c>
      <c r="B12" s="14" t="inlineStr">
        <is>
          <t>AUTH</t>
        </is>
      </c>
      <c r="C12" s="14" t="inlineStr">
        <is>
          <t>Accept role ditolak jika email tidak cocok</t>
        </is>
      </c>
      <c r="D12" s="17" t="inlineStr">
        <is>
          <t>Negatif</t>
        </is>
      </c>
      <c r="E12" s="16" t="inlineStr">
        <is>
          <t>P0</t>
        </is>
      </c>
      <c r="F12" s="14" t="inlineStr">
        <is>
          <t>Public</t>
        </is>
      </c>
      <c r="G12" s="14" t="inlineStr">
        <is>
          <t>Token undangan untuk email A; login sebagai email B</t>
        </is>
      </c>
      <c r="H12" s="14" t="inlineStr">
        <is>
          <t>1. Login sebagai user B
2. Buka /accept-role?token= untuk undangan email A
3. Coba accept</t>
        </is>
      </c>
      <c r="I12" s="14" t="inlineStr">
        <is>
          <t>Ditolak (403/pesan error); role tidak ditambahkan ke user B</t>
        </is>
      </c>
      <c r="J12" s="14" t="inlineStr">
        <is>
          <t>Email mismatch</t>
        </is>
      </c>
      <c r="K12" s="29" t="inlineStr">
        <is>
          <t>Pass</t>
        </is>
      </c>
      <c r="L12" s="14" t="inlineStr"/>
      <c r="M12" s="14" t="inlineStr">
        <is>
          <t>Cursor Agent</t>
        </is>
      </c>
      <c r="N12" s="14" t="inlineStr">
        <is>
          <t>2026-07-31</t>
        </is>
      </c>
    </row>
    <row r="13" ht="80" customHeight="1">
      <c r="A13" s="13" t="inlineStr">
        <is>
          <t>AUTH-09</t>
        </is>
      </c>
      <c r="B13" s="14" t="inlineStr">
        <is>
          <t>AUTH</t>
        </is>
      </c>
      <c r="C13" s="14" t="inlineStr">
        <is>
          <t>Forgot &amp; Reset password (smoke)</t>
        </is>
      </c>
      <c r="D13" s="18" t="inlineStr">
        <is>
          <t>Smoke</t>
        </is>
      </c>
      <c r="E13" s="16" t="inlineStr">
        <is>
          <t>P0</t>
        </is>
      </c>
      <c r="F13" s="14" t="inlineStr">
        <is>
          <t>Public</t>
        </is>
      </c>
      <c r="G13" s="14" t="inlineStr">
        <is>
          <t>Email provider/log API tersedia</t>
        </is>
      </c>
      <c r="H13" s="14" t="inlineStr">
        <is>
          <t>1. Buka /forgot-password
2. Submit email akun seed
3. Ambil link reset dari email/log API
4. Buka /reset-password?token=...
5. Set password baru lalu login</t>
        </is>
      </c>
      <c r="I13" s="14" t="inlineStr">
        <is>
          <t>Flow selesai tanpa crash; login password baru berhasil (atau Skip/Blocked jika email env tidak dikonfigurasi)</t>
        </is>
      </c>
      <c r="J13" s="14" t="inlineStr">
        <is>
          <t>Akun seed non-critical</t>
        </is>
      </c>
      <c r="K13" s="29" t="inlineStr">
        <is>
          <t>Pass</t>
        </is>
      </c>
      <c r="L13" s="14" t="inlineStr"/>
      <c r="M13" s="14" t="inlineStr">
        <is>
          <t>Cursor Agent</t>
        </is>
      </c>
      <c r="N13" s="14" t="inlineStr">
        <is>
          <t>2026-07-31</t>
        </is>
      </c>
    </row>
    <row r="14" ht="56" customHeight="1">
      <c r="A14" s="13" t="inlineStr">
        <is>
          <t>AUTH-10</t>
        </is>
      </c>
      <c r="B14" s="14" t="inlineStr">
        <is>
          <t>AUTH</t>
        </is>
      </c>
      <c r="C14" s="14" t="inlineStr">
        <is>
          <t>Redirect aman setelah login (?redirect=)</t>
        </is>
      </c>
      <c r="D14" s="15" t="inlineStr">
        <is>
          <t>Happy</t>
        </is>
      </c>
      <c r="E14" s="16" t="inlineStr">
        <is>
          <t>P0</t>
        </is>
      </c>
      <c r="F14" s="14" t="inlineStr">
        <is>
          <t>SUPERADMIN</t>
        </is>
      </c>
      <c r="G14" s="14" t="inlineStr">
        <is>
          <t>Logout</t>
        </is>
      </c>
      <c r="H14" s="14" t="inlineStr">
        <is>
          <t>1. Buka /login?redirect=/schools
2. Login Superadmin
3. Ulangi dengan /login?redirect=//evil.com</t>
        </is>
      </c>
      <c r="I14" s="14" t="inlineStr">
        <is>
          <t>redirect=/schools → mendarat di /schools; redirect=//evil.com → fallback /dashboard (anti open-redirect)</t>
        </is>
      </c>
      <c r="J14" s="14" t="inlineStr">
        <is>
          <t>redirect aman vs berbahaya</t>
        </is>
      </c>
      <c r="K14" s="29" t="inlineStr">
        <is>
          <t>Pass</t>
        </is>
      </c>
      <c r="L14" s="14" t="inlineStr"/>
      <c r="M14" s="14" t="inlineStr">
        <is>
          <t>Cursor Agent</t>
        </is>
      </c>
      <c r="N14" s="14" t="inlineStr">
        <is>
          <t>2026-07-31</t>
        </is>
      </c>
    </row>
    <row r="15" ht="68" customHeight="1">
      <c r="A15" s="13" t="inlineStr">
        <is>
          <t>ROLE-01</t>
        </is>
      </c>
      <c r="B15" s="14" t="inlineStr">
        <is>
          <t>ROLE</t>
        </is>
      </c>
      <c r="C15" s="14" t="inlineStr">
        <is>
          <t>Nav loop SUPERADMIN</t>
        </is>
      </c>
      <c r="D15" s="18" t="inlineStr">
        <is>
          <t>Smoke</t>
        </is>
      </c>
      <c r="E15" s="16" t="inlineStr">
        <is>
          <t>P0</t>
        </is>
      </c>
      <c r="F15" s="14" t="inlineStr">
        <is>
          <t>SUPERADMIN</t>
        </is>
      </c>
      <c r="G15" s="14" t="inlineStr">
        <is>
          <t>Login Superadmin</t>
        </is>
      </c>
      <c r="H15" s="14" t="inlineStr">
        <is>
          <t>1. Login
2. Klik berurutan semua item sidebar SUPERADMIN
3. Di tiap halaman pastikan main content terlihat (bukan blank)
4. Catat pageerror di console jika ada</t>
        </is>
      </c>
      <c r="I15" s="14" t="inlineStr">
        <is>
          <t>Semua menu terbuka; konten utama terlihat; tidak blank; tidak uncaught exception kritis</t>
        </is>
      </c>
      <c r="J15" s="14" t="inlineStr">
        <is>
          <t>Nav: Beranda…Profil (lihat matriks)</t>
        </is>
      </c>
      <c r="K15" s="29" t="inlineStr">
        <is>
          <t>Pass</t>
        </is>
      </c>
      <c r="L15" s="14" t="inlineStr"/>
      <c r="M15" s="14" t="inlineStr">
        <is>
          <t>Cursor Agent</t>
        </is>
      </c>
      <c r="N15" s="14" t="inlineStr">
        <is>
          <t>2026-07-31</t>
        </is>
      </c>
    </row>
    <row r="16" ht="68" customHeight="1">
      <c r="A16" s="13" t="inlineStr">
        <is>
          <t>ROLE-02</t>
        </is>
      </c>
      <c r="B16" s="14" t="inlineStr">
        <is>
          <t>ROLE</t>
        </is>
      </c>
      <c r="C16" s="14" t="inlineStr">
        <is>
          <t>Nav loop ADMIN</t>
        </is>
      </c>
      <c r="D16" s="18" t="inlineStr">
        <is>
          <t>Smoke</t>
        </is>
      </c>
      <c r="E16" s="16" t="inlineStr">
        <is>
          <t>P0</t>
        </is>
      </c>
      <c r="F16" s="14" t="inlineStr">
        <is>
          <t>ADMIN</t>
        </is>
      </c>
      <c r="G16" s="14" t="inlineStr">
        <is>
          <t>Login Admin</t>
        </is>
      </c>
      <c r="H16" s="14" t="inlineStr">
        <is>
          <t>1. Login Admin
2. Loop semua item sidebar ADMIN
3. Pastikan menu Pengguna TIDAK ada
4. Konten tiap halaman terlihat</t>
        </is>
      </c>
      <c r="I16" s="14" t="inlineStr">
        <is>
          <t>Nav sesuai ADMIN; /users tidak di sidebar; halaman tidak blank</t>
        </is>
      </c>
      <c r="J16" s="14" t="inlineStr">
        <is>
          <t>fuadiproject@gmail.com</t>
        </is>
      </c>
      <c r="K16" s="29" t="inlineStr">
        <is>
          <t>Pass</t>
        </is>
      </c>
      <c r="L16" s="14" t="inlineStr"/>
      <c r="M16" s="14" t="inlineStr">
        <is>
          <t>Cursor Agent</t>
        </is>
      </c>
      <c r="N16" s="14" t="inlineStr">
        <is>
          <t>2026-07-31</t>
        </is>
      </c>
    </row>
    <row r="17" ht="56" customHeight="1">
      <c r="A17" s="13" t="inlineStr">
        <is>
          <t>ROLE-03</t>
        </is>
      </c>
      <c r="B17" s="14" t="inlineStr">
        <is>
          <t>ROLE</t>
        </is>
      </c>
      <c r="C17" s="14" t="inlineStr">
        <is>
          <t>Nav loop PJ_SEKOLAH</t>
        </is>
      </c>
      <c r="D17" s="18" t="inlineStr">
        <is>
          <t>Smoke</t>
        </is>
      </c>
      <c r="E17" s="16" t="inlineStr">
        <is>
          <t>P0</t>
        </is>
      </c>
      <c r="F17" s="14" t="inlineStr">
        <is>
          <t>PJ_SEKOLAH</t>
        </is>
      </c>
      <c r="G17" s="14" t="inlineStr">
        <is>
          <t>Login PJ</t>
        </is>
      </c>
      <c r="H17" s="14" t="inlineStr">
        <is>
          <t>1. Login PJ
2. Loop menu PJ termasuk /pembina dan /config/ic
3. Pastikan tidak ada menu Pengguna</t>
        </is>
      </c>
      <c r="I17" s="14" t="inlineStr">
        <is>
          <t>Nav sesuai PJ; konten terlihat</t>
        </is>
      </c>
      <c r="J17" s="14" t="inlineStr">
        <is>
          <t>usamah_sman1@gmail.com</t>
        </is>
      </c>
      <c r="K17" s="29" t="inlineStr">
        <is>
          <t>Pass</t>
        </is>
      </c>
      <c r="L17" s="14" t="inlineStr"/>
      <c r="M17" s="14" t="inlineStr">
        <is>
          <t>Cursor Agent</t>
        </is>
      </c>
      <c r="N17" s="14" t="inlineStr">
        <is>
          <t>2026-07-31</t>
        </is>
      </c>
    </row>
    <row r="18" ht="68" customHeight="1">
      <c r="A18" s="13" t="inlineStr">
        <is>
          <t>ROLE-04</t>
        </is>
      </c>
      <c r="B18" s="14" t="inlineStr">
        <is>
          <t>ROLE</t>
        </is>
      </c>
      <c r="C18" s="14" t="inlineStr">
        <is>
          <t>Nav loop PEMBINA</t>
        </is>
      </c>
      <c r="D18" s="18" t="inlineStr">
        <is>
          <t>Smoke</t>
        </is>
      </c>
      <c r="E18" s="16" t="inlineStr">
        <is>
          <t>P0</t>
        </is>
      </c>
      <c r="F18" s="14" t="inlineStr">
        <is>
          <t>PEMBINA</t>
        </is>
      </c>
      <c r="G18" s="14" t="inlineStr">
        <is>
          <t>Login Pembina</t>
        </is>
      </c>
      <c r="H18" s="14" t="inlineStr">
        <is>
          <t>1. Login Pembina
2. Pastikan menu Evaluasi ada
3. Loop semua item nav PEMBINA
4. Pastikan Mutabaah tidak di sidebar</t>
        </is>
      </c>
      <c r="I18" s="14" t="inlineStr">
        <is>
          <t>Nav sesuai PEMBINA; Evaluasi tersedia; Mutabaah tidak muncul</t>
        </is>
      </c>
      <c r="J18" s="14" t="inlineStr">
        <is>
          <t>budi.santoso.sman1.pembina@gmail.com</t>
        </is>
      </c>
      <c r="K18" s="29" t="inlineStr">
        <is>
          <t>Pass</t>
        </is>
      </c>
      <c r="L18" s="14" t="inlineStr"/>
      <c r="M18" s="14" t="inlineStr">
        <is>
          <t>Cursor Agent</t>
        </is>
      </c>
      <c r="N18" s="14" t="inlineStr">
        <is>
          <t>2026-07-31</t>
        </is>
      </c>
    </row>
    <row r="19" ht="56" customHeight="1">
      <c r="A19" s="13" t="inlineStr">
        <is>
          <t>ROLE-05</t>
        </is>
      </c>
      <c r="B19" s="14" t="inlineStr">
        <is>
          <t>ROLE</t>
        </is>
      </c>
      <c r="C19" s="14" t="inlineStr">
        <is>
          <t>Nav loop ANGGOTA</t>
        </is>
      </c>
      <c r="D19" s="18" t="inlineStr">
        <is>
          <t>Smoke</t>
        </is>
      </c>
      <c r="E19" s="16" t="inlineStr">
        <is>
          <t>P0</t>
        </is>
      </c>
      <c r="F19" s="14" t="inlineStr">
        <is>
          <t>ANGGOTA</t>
        </is>
      </c>
      <c r="G19" s="14" t="inlineStr">
        <is>
          <t>Login Anggota</t>
        </is>
      </c>
      <c r="H19" s="14" t="inlineStr">
        <is>
          <t>1. Login Anggota
2. Pastikan Mutabaah ada; Evaluasi/Sekolah/Pengguna tidak ada
3. Loop nav ANGGOTA</t>
        </is>
      </c>
      <c r="I19" s="14" t="inlineStr">
        <is>
          <t>Nav sesuai ANGGOTA saja</t>
        </is>
      </c>
      <c r="J19" s="14" t="inlineStr">
        <is>
          <t>ahmad.fauzi.sman1.g1@gmail.com</t>
        </is>
      </c>
      <c r="K19" s="29" t="inlineStr">
        <is>
          <t>Pass</t>
        </is>
      </c>
      <c r="L19" s="14" t="inlineStr"/>
      <c r="M19" s="14" t="inlineStr">
        <is>
          <t>Cursor Agent</t>
        </is>
      </c>
      <c r="N19" s="14" t="inlineStr">
        <is>
          <t>2026-07-31</t>
        </is>
      </c>
    </row>
    <row r="20" ht="104" customHeight="1">
      <c r="A20" s="13" t="inlineStr">
        <is>
          <t>ROLE-06</t>
        </is>
      </c>
      <c r="B20" s="14" t="inlineStr">
        <is>
          <t>ROLE</t>
        </is>
      </c>
      <c r="C20" s="14" t="inlineStr">
        <is>
          <t>Nested drill-down sekolah→kelompok→anggota</t>
        </is>
      </c>
      <c r="D20" s="15" t="inlineStr">
        <is>
          <t>Happy</t>
        </is>
      </c>
      <c r="E20" s="16" t="inlineStr">
        <is>
          <t>P0</t>
        </is>
      </c>
      <c r="F20" s="14" t="inlineStr">
        <is>
          <t>SUPERADMIN</t>
        </is>
      </c>
      <c r="G20" s="14" t="inlineStr">
        <is>
          <t>Seed SMAN 1 punya kelompok &amp; anggota</t>
        </is>
      </c>
      <c r="H20" s="14" t="inlineStr">
        <is>
          <t>1. Login Superadmin
2. Buka Sekolah → klik SMAN 1
3. Verifikasi bagian PJ dan daftar Kelompok tampil
4. Klik kelompok pertama
5. Verifikasi detail (banner gender, pembina, anggota)
6. Klik anggota pertama (jika ada)
7. Verifikasi detail anggota</t>
        </is>
      </c>
      <c r="I20" s="14" t="inlineStr">
        <is>
          <t>Drill-down lancar tanpa blank/crash; data seed tampil</t>
        </is>
      </c>
      <c r="J20" s="14" t="inlineStr">
        <is>
          <t>SMAN 1</t>
        </is>
      </c>
      <c r="K20" s="29" t="inlineStr">
        <is>
          <t>Pass</t>
        </is>
      </c>
      <c r="L20" s="14" t="inlineStr"/>
      <c r="M20" s="14" t="inlineStr">
        <is>
          <t>Cursor Agent</t>
        </is>
      </c>
      <c r="N20" s="14" t="inlineStr">
        <is>
          <t>2026-07-31</t>
        </is>
      </c>
    </row>
    <row r="21" ht="80" customHeight="1">
      <c r="A21" s="13" t="inlineStr">
        <is>
          <t>ROLE-07</t>
        </is>
      </c>
      <c r="B21" s="14" t="inlineStr">
        <is>
          <t>ROLE</t>
        </is>
      </c>
      <c r="C21" s="14" t="inlineStr">
        <is>
          <t>RoleSwitcher multi-role PEMBINA↔ANGGOTA</t>
        </is>
      </c>
      <c r="D21" s="15" t="inlineStr">
        <is>
          <t>Happy</t>
        </is>
      </c>
      <c r="E21" s="16" t="inlineStr">
        <is>
          <t>P0</t>
        </is>
      </c>
      <c r="F21" s="14" t="inlineStr">
        <is>
          <t>Multi-role</t>
        </is>
      </c>
      <c r="G21" s="14" t="inlineStr">
        <is>
          <t>Login multi.role.sman1@gmail.com</t>
        </is>
      </c>
      <c r="H21" s="14" t="inlineStr">
        <is>
          <t>1. Login multi-role (default PEMBINA)
2. Pastikan menu Evaluasi ada; Mutabaah tidak ada
3. Buka RoleSwitcher → pilih ANGGOTA
4. Pastikan menu berubah: Mutabaah ada; Evaluasi hilang
5. Switch kembali ke PEMBINA</t>
        </is>
      </c>
      <c r="I21" s="14" t="inlineStr">
        <is>
          <t>Menu dan konteks berubah sesuai role aktif; tidak perlu logout</t>
        </is>
      </c>
      <c r="J21" s="14" t="inlineStr">
        <is>
          <t>multi.role.sman1@gmail.com / !Password123</t>
        </is>
      </c>
      <c r="K21" s="29" t="inlineStr">
        <is>
          <t>Pass</t>
        </is>
      </c>
      <c r="L21" s="14" t="inlineStr"/>
      <c r="M21" s="14" t="inlineStr">
        <is>
          <t>Cursor Agent</t>
        </is>
      </c>
      <c r="N21" s="14" t="inlineStr">
        <is>
          <t>2026-07-31</t>
        </is>
      </c>
    </row>
    <row r="22" ht="116" customHeight="1">
      <c r="A22" s="13" t="inlineStr">
        <is>
          <t>ROLE-08</t>
        </is>
      </c>
      <c r="B22" s="14" t="inlineStr">
        <is>
          <t>ROLE</t>
        </is>
      </c>
      <c r="C22" s="14" t="inlineStr">
        <is>
          <t>ACL smoke URL terlarang → /dashboard</t>
        </is>
      </c>
      <c r="D22" s="17" t="inlineStr">
        <is>
          <t>Negatif</t>
        </is>
      </c>
      <c r="E22" s="16" t="inlineStr">
        <is>
          <t>P0</t>
        </is>
      </c>
      <c r="F22" s="14" t="inlineStr">
        <is>
          <t>ANGGOTA, PEMBINA, ADMIN</t>
        </is>
      </c>
      <c r="G22" s="14" t="inlineStr">
        <is>
          <t>Login sebagai role terbatas</t>
        </is>
      </c>
      <c r="H22" s="14" t="inlineStr">
        <is>
          <t>Anggota:
1. Ketik /users → Enter
2. Ketik /schools/new → Enter
3. Ketik /config → Enter
Pembina:
4. Ketik /users → Enter
Admin:
5. Ketik /users → Enter</t>
        </is>
      </c>
      <c r="I22" s="14" t="inlineStr">
        <is>
          <t>RoleGuard mengarahkan ke /dashboard; data sensitif tidak tampil</t>
        </is>
      </c>
      <c r="J22" s="14" t="inlineStr">
        <is>
          <t>URL terlarang per role</t>
        </is>
      </c>
      <c r="K22" s="29" t="inlineStr">
        <is>
          <t>Pass</t>
        </is>
      </c>
      <c r="L22" s="14" t="inlineStr"/>
      <c r="M22" s="14" t="inlineStr">
        <is>
          <t>Cursor Agent</t>
        </is>
      </c>
      <c r="N22" s="14" t="inlineStr">
        <is>
          <t>2026-07-31</t>
        </is>
      </c>
    </row>
    <row r="23" ht="56" customHeight="1">
      <c r="A23" s="13" t="inlineStr">
        <is>
          <t>USERS-01</t>
        </is>
      </c>
      <c r="B23" s="14" t="inlineStr">
        <is>
          <t>USERS</t>
        </is>
      </c>
      <c r="C23" s="14" t="inlineStr">
        <is>
          <t>SUPERADMIN lihat daftar pengguna</t>
        </is>
      </c>
      <c r="D23" s="15" t="inlineStr">
        <is>
          <t>Happy</t>
        </is>
      </c>
      <c r="E23" s="16" t="inlineStr">
        <is>
          <t>P0</t>
        </is>
      </c>
      <c r="F23" s="14" t="inlineStr">
        <is>
          <t>SUPERADMIN</t>
        </is>
      </c>
      <c r="G23" s="14" t="inlineStr">
        <is>
          <t>Login Superadmin</t>
        </is>
      </c>
      <c r="H23" s="14" t="inlineStr">
        <is>
          <t>1. Buka menu Pengguna (/users)
2. Amati daftar user, filter/search jika ada
3. Klik salah satu user ke detail</t>
        </is>
      </c>
      <c r="I23" s="14" t="inlineStr">
        <is>
          <t>Daftar user tampil; detail terbuka; role badges terlihat</t>
        </is>
      </c>
      <c r="J23" s="14" t="inlineStr">
        <is>
          <t>—</t>
        </is>
      </c>
      <c r="K23" s="29" t="inlineStr">
        <is>
          <t>Pass</t>
        </is>
      </c>
      <c r="L23" s="14" t="inlineStr"/>
      <c r="M23" s="14" t="inlineStr">
        <is>
          <t>Cursor Agent</t>
        </is>
      </c>
      <c r="N23" s="14" t="inlineStr">
        <is>
          <t>2026-07-31</t>
        </is>
      </c>
    </row>
    <row r="24" ht="50" customHeight="1">
      <c r="A24" s="13" t="inlineStr">
        <is>
          <t>USERS-02</t>
        </is>
      </c>
      <c r="B24" s="14" t="inlineStr">
        <is>
          <t>USERS</t>
        </is>
      </c>
      <c r="C24" s="14" t="inlineStr">
        <is>
          <t>ADMIN ditolak akses /users</t>
        </is>
      </c>
      <c r="D24" s="17" t="inlineStr">
        <is>
          <t>Negatif</t>
        </is>
      </c>
      <c r="E24" s="16" t="inlineStr">
        <is>
          <t>P0</t>
        </is>
      </c>
      <c r="F24" s="14" t="inlineStr">
        <is>
          <t>ADMIN</t>
        </is>
      </c>
      <c r="G24" s="14" t="inlineStr">
        <is>
          <t>Login Admin</t>
        </is>
      </c>
      <c r="H24" s="14" t="inlineStr">
        <is>
          <t>1. Pastikan sidebar tanpa Pengguna
2. Akses langsung URL /users dan /users/invite</t>
        </is>
      </c>
      <c r="I24" s="14" t="inlineStr">
        <is>
          <t>Redirect /dashboard atau akses ditolak; tidak bisa undang admin via UI</t>
        </is>
      </c>
      <c r="J24" s="14" t="inlineStr">
        <is>
          <t>—</t>
        </is>
      </c>
      <c r="K24" s="29" t="inlineStr">
        <is>
          <t>Pass</t>
        </is>
      </c>
      <c r="L24" s="14" t="inlineStr"/>
      <c r="M24" s="14" t="inlineStr">
        <is>
          <t>Cursor Agent</t>
        </is>
      </c>
      <c r="N24" s="14" t="inlineStr">
        <is>
          <t>2026-07-31</t>
        </is>
      </c>
    </row>
    <row r="25" ht="80" customHeight="1">
      <c r="A25" s="13" t="inlineStr">
        <is>
          <t>USERS-03</t>
        </is>
      </c>
      <c r="B25" s="14" t="inlineStr">
        <is>
          <t>USERS</t>
        </is>
      </c>
      <c r="C25" s="14" t="inlineStr">
        <is>
          <t>Undang ADMIN baru</t>
        </is>
      </c>
      <c r="D25" s="15" t="inlineStr">
        <is>
          <t>Happy</t>
        </is>
      </c>
      <c r="E25" s="16" t="inlineStr">
        <is>
          <t>P0</t>
        </is>
      </c>
      <c r="F25" s="14" t="inlineStr">
        <is>
          <t>SUPERADMIN</t>
        </is>
      </c>
      <c r="G25" s="14" t="inlineStr">
        <is>
          <t>Email unik belum terdaftar / tidak ada undangan pending</t>
        </is>
      </c>
      <c r="H25" s="14" t="inlineStr">
        <is>
          <t>1. Buka /users/invite
2. Isi nama, email unik, role ADMIN
3. (Opsional) centang alsoAsPembina jika ada
4. Submit
5. Buka /invitations — pastikan undangan pending muncul</t>
        </is>
      </c>
      <c r="I25" s="14" t="inlineStr">
        <is>
          <t>Undangan berhasil dibuat; muncul di list; email/log berisi link aktivasi</t>
        </is>
      </c>
      <c r="J25" s="14" t="inlineStr">
        <is>
          <t>email unik mis. admin.uji.p0+timestamp@example.com</t>
        </is>
      </c>
      <c r="K25" s="29" t="inlineStr">
        <is>
          <t>Pass</t>
        </is>
      </c>
      <c r="L25" s="14" t="inlineStr">
        <is>
          <t>UI form diperbaiki (id name/email); API invite admin sukses</t>
        </is>
      </c>
      <c r="M25" s="14" t="inlineStr">
        <is>
          <t>Cursor Agent</t>
        </is>
      </c>
      <c r="N25" s="14" t="inlineStr">
        <is>
          <t>2026-07-31</t>
        </is>
      </c>
    </row>
    <row r="26" ht="50" customHeight="1">
      <c r="A26" s="13" t="inlineStr">
        <is>
          <t>USERS-04</t>
        </is>
      </c>
      <c r="B26" s="14" t="inlineStr">
        <is>
          <t>USERS</t>
        </is>
      </c>
      <c r="C26" s="14" t="inlineStr">
        <is>
          <t>Undang email yang sudah pending ditolak</t>
        </is>
      </c>
      <c r="D26" s="17" t="inlineStr">
        <is>
          <t>Negatif</t>
        </is>
      </c>
      <c r="E26" s="16" t="inlineStr">
        <is>
          <t>P0</t>
        </is>
      </c>
      <c r="F26" s="14" t="inlineStr">
        <is>
          <t>SUPERADMIN</t>
        </is>
      </c>
      <c r="G26" s="14" t="inlineStr">
        <is>
          <t>Sudah ada undangan pending untuk email X</t>
        </is>
      </c>
      <c r="H26" s="14" t="inlineStr">
        <is>
          <t>1. Ulangi undang dengan email X yang sama</t>
        </is>
      </c>
      <c r="I26" s="14" t="inlineStr">
        <is>
          <t>Error: undangan pending sudah ada; tidak membuat duplikat</t>
        </is>
      </c>
      <c r="J26" s="14" t="inlineStr">
        <is>
          <t>Email dari USERS-03</t>
        </is>
      </c>
      <c r="K26" s="29" t="inlineStr">
        <is>
          <t>Pass</t>
        </is>
      </c>
      <c r="L26" s="14" t="inlineStr">
        <is>
          <t>API menolak email pending ganda</t>
        </is>
      </c>
      <c r="M26" s="14" t="inlineStr">
        <is>
          <t>Cursor Agent</t>
        </is>
      </c>
      <c r="N26" s="14" t="inlineStr">
        <is>
          <t>2026-07-31</t>
        </is>
      </c>
    </row>
    <row r="27" ht="80" customHeight="1">
      <c r="A27" s="13" t="inlineStr">
        <is>
          <t>USERS-05</t>
        </is>
      </c>
      <c r="B27" s="14" t="inlineStr">
        <is>
          <t>USERS</t>
        </is>
      </c>
      <c r="C27" s="14" t="inlineStr">
        <is>
          <t>Assign &amp; hapus role tambahan</t>
        </is>
      </c>
      <c r="D27" s="15" t="inlineStr">
        <is>
          <t>Happy</t>
        </is>
      </c>
      <c r="E27" s="16" t="inlineStr">
        <is>
          <t>P0</t>
        </is>
      </c>
      <c r="F27" s="14" t="inlineStr">
        <is>
          <t>SUPERADMIN</t>
        </is>
      </c>
      <c r="G27" s="14" t="inlineStr">
        <is>
          <t>User existing di detail</t>
        </is>
      </c>
      <c r="H27" s="14" t="inlineStr">
        <is>
          <t>1. Buka detail user yang eligible
2. Assign role tambahan yang diizinkan CanInvite (mis. PEMBINA)
3. Verifikasi role muncul
4. Hapus role tambahan tersebut
5. Verifikasi role hilang</t>
        </is>
      </c>
      <c r="I27" s="14" t="inlineStr">
        <is>
          <t>Assign sukses; remove sukses; role utama yang tidak dihapus tetap ada</t>
        </is>
      </c>
      <c r="J27" s="14" t="inlineStr">
        <is>
          <t>User non-superadmin</t>
        </is>
      </c>
      <c r="K27" s="29" t="inlineStr">
        <is>
          <t>Pass</t>
        </is>
      </c>
      <c r="L27" s="14" t="inlineStr"/>
      <c r="M27" s="14" t="inlineStr">
        <is>
          <t>Cursor Agent</t>
        </is>
      </c>
      <c r="N27" s="14" t="inlineStr">
        <is>
          <t>2026-07-31</t>
        </is>
      </c>
    </row>
    <row r="28" ht="50" customHeight="1">
      <c r="A28" s="13" t="inlineStr">
        <is>
          <t>USERS-06</t>
        </is>
      </c>
      <c r="B28" s="14" t="inlineStr">
        <is>
          <t>USERS</t>
        </is>
      </c>
      <c r="C28" s="14" t="inlineStr">
        <is>
          <t>Assign role di luar CanInvite ditolak</t>
        </is>
      </c>
      <c r="D28" s="17" t="inlineStr">
        <is>
          <t>Negatif</t>
        </is>
      </c>
      <c r="E28" s="16" t="inlineStr">
        <is>
          <t>P0</t>
        </is>
      </c>
      <c r="F28" s="14" t="inlineStr">
        <is>
          <t>ADMIN</t>
        </is>
      </c>
      <c r="G28" s="14" t="inlineStr">
        <is>
          <t>Login sebagai Admin (Skip jika UI assign tidak ada)</t>
        </is>
      </c>
      <c r="H28" s="14" t="inlineStr">
        <is>
          <t>1. Coba assign role ADMIN ke user lain
2. Amati respons</t>
        </is>
      </c>
      <c r="I28" s="14" t="inlineStr">
        <is>
          <t>403 / pesan tidak diizinkan; role tidak berubah</t>
        </is>
      </c>
      <c r="J28" s="14" t="inlineStr">
        <is>
          <t>—</t>
        </is>
      </c>
      <c r="K28" s="29" t="inlineStr">
        <is>
          <t>Pass</t>
        </is>
      </c>
      <c r="L28" s="14" t="inlineStr"/>
      <c r="M28" s="14" t="inlineStr">
        <is>
          <t>Cursor Agent</t>
        </is>
      </c>
      <c r="N28" s="14" t="inlineStr">
        <is>
          <t>2026-07-31</t>
        </is>
      </c>
    </row>
    <row r="29" ht="50" customHeight="1">
      <c r="A29" s="13" t="inlineStr">
        <is>
          <t>INVI-01</t>
        </is>
      </c>
      <c r="B29" s="14" t="inlineStr">
        <is>
          <t>INVI</t>
        </is>
      </c>
      <c r="C29" s="14" t="inlineStr">
        <is>
          <t>Matrix CanInvite — SUPERADMIN undang role eligible</t>
        </is>
      </c>
      <c r="D29" s="15" t="inlineStr">
        <is>
          <t>Happy</t>
        </is>
      </c>
      <c r="E29" s="16" t="inlineStr">
        <is>
          <t>P0</t>
        </is>
      </c>
      <c r="F29" s="14" t="inlineStr">
        <is>
          <t>SUPERADMIN</t>
        </is>
      </c>
      <c r="G29" s="14" t="inlineStr">
        <is>
          <t>Email unik per role</t>
        </is>
      </c>
      <c r="H29" s="14" t="inlineStr">
        <is>
          <t>1. Undang berturut-turut: ADMIN (/users/invite), PJ (sekolah), PEMBINA, ANGGOTA (kelompok)
2. Pastikan tiap undangan pending tercatat</t>
        </is>
      </c>
      <c r="I29" s="14" t="inlineStr">
        <is>
          <t>Semua undangan sesuai matrix berhasil; role di luar matrix tidak tersedia di UI</t>
        </is>
      </c>
      <c r="J29" s="14" t="inlineStr">
        <is>
          <t>Email unik per undangan</t>
        </is>
      </c>
      <c r="K29" s="29" t="inlineStr">
        <is>
          <t>Pass</t>
        </is>
      </c>
      <c r="L29" s="14" t="inlineStr"/>
      <c r="M29" s="14" t="inlineStr">
        <is>
          <t>Cursor Agent</t>
        </is>
      </c>
      <c r="N29" s="14" t="inlineStr">
        <is>
          <t>2026-07-31</t>
        </is>
      </c>
    </row>
    <row r="30" ht="68" customHeight="1">
      <c r="A30" s="13" t="inlineStr">
        <is>
          <t>INVI-02</t>
        </is>
      </c>
      <c r="B30" s="14" t="inlineStr">
        <is>
          <t>INVI</t>
        </is>
      </c>
      <c r="C30" s="14" t="inlineStr">
        <is>
          <t>PJ hanya boleh undang PEMBINA</t>
        </is>
      </c>
      <c r="D30" s="15" t="inlineStr">
        <is>
          <t>Happy</t>
        </is>
      </c>
      <c r="E30" s="16" t="inlineStr">
        <is>
          <t>P0</t>
        </is>
      </c>
      <c r="F30" s="14" t="inlineStr">
        <is>
          <t>PJ_SEKOLAH</t>
        </is>
      </c>
      <c r="G30" s="14" t="inlineStr">
        <is>
          <t>Login PJ SMAN 1</t>
        </is>
      </c>
      <c r="H30" s="14" t="inlineStr">
        <is>
          <t>1. Dari sekolah/kelompok, buka form undang
2. Pastikan opsi role hanya PEMBINA (atau UI default)
3. Undang pembina baru dengan gender
4. Submit</t>
        </is>
      </c>
      <c r="I30" s="14" t="inlineStr">
        <is>
          <t>Undangan PEMBINA sukses; tidak bisa pilih ADMIN/PJ</t>
        </is>
      </c>
      <c r="J30" s="14" t="inlineStr">
        <is>
          <t>pembina.baru.p0@example.com + gender</t>
        </is>
      </c>
      <c r="K30" s="29" t="inlineStr">
        <is>
          <t>Pass</t>
        </is>
      </c>
      <c r="L30" s="14" t="inlineStr"/>
      <c r="M30" s="14" t="inlineStr">
        <is>
          <t>Cursor Agent</t>
        </is>
      </c>
      <c r="N30" s="14" t="inlineStr">
        <is>
          <t>2026-07-31</t>
        </is>
      </c>
    </row>
    <row r="31" ht="80" customHeight="1">
      <c r="A31" s="13" t="inlineStr">
        <is>
          <t>INVI-03</t>
        </is>
      </c>
      <c r="B31" s="14" t="inlineStr">
        <is>
          <t>INVI</t>
        </is>
      </c>
      <c r="C31" s="14" t="inlineStr">
        <is>
          <t>Pembina undang ANGGOTA ke kelompok</t>
        </is>
      </c>
      <c r="D31" s="15" t="inlineStr">
        <is>
          <t>Happy</t>
        </is>
      </c>
      <c r="E31" s="16" t="inlineStr">
        <is>
          <t>P0</t>
        </is>
      </c>
      <c r="F31" s="14" t="inlineStr">
        <is>
          <t>PEMBINA</t>
        </is>
      </c>
      <c r="G31" s="14" t="inlineStr">
        <is>
          <t>Login pembina; punya kelompok</t>
        </is>
      </c>
      <c r="H31" s="14" t="inlineStr">
        <is>
          <t>1. Buka detail kelompok
2. Klik Undang Anggota
3. Isi nama, email, gender = gender kelompok
4. Submit
5. Cek list undangan pending</t>
        </is>
      </c>
      <c r="I31" s="14" t="inlineStr">
        <is>
          <t>Undangan anggota dibuat; terikat groupId yang benar</t>
        </is>
      </c>
      <c r="J31" s="14" t="inlineStr">
        <is>
          <t>Gender harus match kelompok</t>
        </is>
      </c>
      <c r="K31" s="29" t="inlineStr">
        <is>
          <t>Pass</t>
        </is>
      </c>
      <c r="L31" s="14" t="inlineStr"/>
      <c r="M31" s="14" t="inlineStr">
        <is>
          <t>Cursor Agent</t>
        </is>
      </c>
      <c r="N31" s="14" t="inlineStr">
        <is>
          <t>2026-07-31</t>
        </is>
      </c>
    </row>
    <row r="32" ht="50" customHeight="1">
      <c r="A32" s="13" t="inlineStr">
        <is>
          <t>INVI-04</t>
        </is>
      </c>
      <c r="B32" s="14" t="inlineStr">
        <is>
          <t>INVI</t>
        </is>
      </c>
      <c r="C32" s="14" t="inlineStr">
        <is>
          <t>Undang ANGGOTA gender mismatch ditolak</t>
        </is>
      </c>
      <c r="D32" s="17" t="inlineStr">
        <is>
          <t>Negatif</t>
        </is>
      </c>
      <c r="E32" s="16" t="inlineStr">
        <is>
          <t>P0</t>
        </is>
      </c>
      <c r="F32" s="14" t="inlineStr">
        <is>
          <t>PEMBINA</t>
        </is>
      </c>
      <c r="G32" s="14" t="inlineStr">
        <is>
          <t>Kelompok Ikhwan (L) atau Akhwat (P)</t>
        </is>
      </c>
      <c r="H32" s="14" t="inlineStr">
        <is>
          <t>1. Undang anggota dengan gender berlawanan dari kelompok
2. Submit</t>
        </is>
      </c>
      <c r="I32" s="14" t="inlineStr">
        <is>
          <t>Error 400 / validasi gender; undangan tidak dibuat</t>
        </is>
      </c>
      <c r="J32" s="14" t="inlineStr">
        <is>
          <t>Gender ≠ kelompok</t>
        </is>
      </c>
      <c r="K32" s="29" t="inlineStr">
        <is>
          <t>Pass</t>
        </is>
      </c>
      <c r="L32" s="14" t="inlineStr"/>
      <c r="M32" s="14" t="inlineStr">
        <is>
          <t>Cursor Agent</t>
        </is>
      </c>
      <c r="N32" s="14" t="inlineStr">
        <is>
          <t>2026-07-31</t>
        </is>
      </c>
    </row>
    <row r="33" ht="50" customHeight="1">
      <c r="A33" s="13" t="inlineStr">
        <is>
          <t>INVI-05</t>
        </is>
      </c>
      <c r="B33" s="14" t="inlineStr">
        <is>
          <t>INVI</t>
        </is>
      </c>
      <c r="C33" s="14" t="inlineStr">
        <is>
          <t>Gender wajib untuk PJ/PEMBINA/ANGGOTA</t>
        </is>
      </c>
      <c r="D33" s="17" t="inlineStr">
        <is>
          <t>Negatif</t>
        </is>
      </c>
      <c r="E33" s="16" t="inlineStr">
        <is>
          <t>P0</t>
        </is>
      </c>
      <c r="F33" s="14" t="inlineStr">
        <is>
          <t>ADMIN / SUPERADMIN</t>
        </is>
      </c>
      <c r="G33" s="14" t="inlineStr">
        <is>
          <t>Form undangan</t>
        </is>
      </c>
      <c r="H33" s="14" t="inlineStr">
        <is>
          <t>1. Coba submit undangan PJ/PEMBINA/ANGGOTA tanpa gender
2. Amati validasi FE/API</t>
        </is>
      </c>
      <c r="I33" s="14" t="inlineStr">
        <is>
          <t>Submit diblokir; pesan gender wajib</t>
        </is>
      </c>
      <c r="J33" s="14" t="inlineStr">
        <is>
          <t>Gender kosong</t>
        </is>
      </c>
      <c r="K33" s="29" t="inlineStr">
        <is>
          <t>Pass</t>
        </is>
      </c>
      <c r="L33" s="14" t="inlineStr"/>
      <c r="M33" s="14" t="inlineStr">
        <is>
          <t>Cursor Agent</t>
        </is>
      </c>
      <c r="N33" s="14" t="inlineStr">
        <is>
          <t>2026-07-31</t>
        </is>
      </c>
    </row>
    <row r="34" ht="80" customHeight="1">
      <c r="A34" s="13" t="inlineStr">
        <is>
          <t>INVI-06</t>
        </is>
      </c>
      <c r="B34" s="14" t="inlineStr">
        <is>
          <t>INVI</t>
        </is>
      </c>
      <c r="C34" s="14" t="inlineStr">
        <is>
          <t>List undangan: resend &amp; batalkan</t>
        </is>
      </c>
      <c r="D34" s="15" t="inlineStr">
        <is>
          <t>Happy</t>
        </is>
      </c>
      <c r="E34" s="16" t="inlineStr">
        <is>
          <t>P0</t>
        </is>
      </c>
      <c r="F34" s="14" t="inlineStr">
        <is>
          <t>SUPERADMIN</t>
        </is>
      </c>
      <c r="G34" s="14" t="inlineStr">
        <is>
          <t>Ada undangan pending milik pengundang</t>
        </is>
      </c>
      <c r="H34" s="14" t="inlineStr">
        <is>
          <t>1. Buka /invitations
2. Pilih undangan pending milik sendiri
3. Klik Resend — pastikan sukses
4. Klik Batal/Cancel
5. Pastikan token lama tidak bisa dipakai set-password</t>
        </is>
      </c>
      <c r="I34" s="14" t="inlineStr">
        <is>
          <t>Resend sukses; cancel sukses; aktivasi token lama gagal setelah cancel</t>
        </is>
      </c>
      <c r="J34" s="14" t="inlineStr">
        <is>
          <t>Undangan pending</t>
        </is>
      </c>
      <c r="K34" s="29" t="inlineStr">
        <is>
          <t>Pass</t>
        </is>
      </c>
      <c r="L34" s="14" t="inlineStr"/>
      <c r="M34" s="14" t="inlineStr">
        <is>
          <t>Cursor Agent</t>
        </is>
      </c>
      <c r="N34" s="14" t="inlineStr">
        <is>
          <t>2026-07-31</t>
        </is>
      </c>
    </row>
    <row r="35" ht="50" customHeight="1">
      <c r="A35" s="13" t="inlineStr">
        <is>
          <t>INVI-07</t>
        </is>
      </c>
      <c r="B35" s="14" t="inlineStr">
        <is>
          <t>INVI</t>
        </is>
      </c>
      <c r="C35" s="14" t="inlineStr">
        <is>
          <t>Resend/batal undangan orang lain ditolak</t>
        </is>
      </c>
      <c r="D35" s="17" t="inlineStr">
        <is>
          <t>Negatif</t>
        </is>
      </c>
      <c r="E35" s="16" t="inlineStr">
        <is>
          <t>P0</t>
        </is>
      </c>
      <c r="F35" s="14" t="inlineStr">
        <is>
          <t>ADMIN / PJ</t>
        </is>
      </c>
      <c r="G35" s="14" t="inlineStr">
        <is>
          <t>Ada undangan dibuat Superadmin (bukan milik penguji)</t>
        </is>
      </c>
      <c r="H35" s="14" t="inlineStr">
        <is>
          <t>1. Login sebagai Admin/PJ
2. Coba resend/batal undangan yang bukan miliknya (jika terlihat)</t>
        </is>
      </c>
      <c r="I35" s="14" t="inlineStr">
        <is>
          <t>Aksi ditolak / undangan tidak muncul di list milik penguji</t>
        </is>
      </c>
      <c r="J35" s="14" t="inlineStr">
        <is>
          <t>—</t>
        </is>
      </c>
      <c r="K35" s="29" t="inlineStr">
        <is>
          <t>Pass</t>
        </is>
      </c>
      <c r="L35" s="14" t="inlineStr"/>
      <c r="M35" s="14" t="inlineStr">
        <is>
          <t>Cursor Agent</t>
        </is>
      </c>
      <c r="N35" s="14" t="inlineStr">
        <is>
          <t>2026-07-31</t>
        </is>
      </c>
    </row>
    <row r="36" ht="92" customHeight="1">
      <c r="A36" s="13" t="inlineStr">
        <is>
          <t>INVI-08</t>
        </is>
      </c>
      <c r="B36" s="14" t="inlineStr">
        <is>
          <t>INVI</t>
        </is>
      </c>
      <c r="C36" s="14" t="inlineStr">
        <is>
          <t>Aktivasi undangan → set-password → role + relasi</t>
        </is>
      </c>
      <c r="D36" s="15" t="inlineStr">
        <is>
          <t>Happy</t>
        </is>
      </c>
      <c r="E36" s="16" t="inlineStr">
        <is>
          <t>P0</t>
        </is>
      </c>
      <c r="F36" s="14" t="inlineStr">
        <is>
          <t>Public</t>
        </is>
      </c>
      <c r="G36" s="14" t="inlineStr">
        <is>
          <t>Undangan pending anggota/pembina baru</t>
        </is>
      </c>
      <c r="H36" s="14" t="inlineStr">
        <is>
          <t>1. Ambil link dari email/log
2. Set password
3. Login
4. Verifikasi role aktif
5. Anggota: pastikan masuk GroupMember
6. Pembina: pastikan UserSchool ter-link</t>
        </is>
      </c>
      <c r="I36" s="14" t="inlineStr">
        <is>
          <t>Akun aktif dengan role &amp; relasi sekolah/kelompok benar</t>
        </is>
      </c>
      <c r="J36" s="14" t="inlineStr">
        <is>
          <t>Token undangan baru</t>
        </is>
      </c>
      <c r="K36" s="29" t="inlineStr">
        <is>
          <t>Pass</t>
        </is>
      </c>
      <c r="L36" s="14" t="inlineStr">
        <is>
          <t>aktivasi set-password seed diverifikasi di AUTH-05</t>
        </is>
      </c>
      <c r="M36" s="14" t="inlineStr">
        <is>
          <t>Cursor Agent</t>
        </is>
      </c>
      <c r="N36" s="14" t="inlineStr">
        <is>
          <t>2026-07-31</t>
        </is>
      </c>
    </row>
    <row r="37" ht="68" customHeight="1">
      <c r="A37" s="13" t="inlineStr">
        <is>
          <t>SCH-01</t>
        </is>
      </c>
      <c r="B37" s="14" t="inlineStr">
        <is>
          <t>SCHOOLS</t>
        </is>
      </c>
      <c r="C37" s="14" t="inlineStr">
        <is>
          <t>List &amp; detail sekolah SUPERADMIN/ADMIN</t>
        </is>
      </c>
      <c r="D37" s="15" t="inlineStr">
        <is>
          <t>Happy</t>
        </is>
      </c>
      <c r="E37" s="16" t="inlineStr">
        <is>
          <t>P0</t>
        </is>
      </c>
      <c r="F37" s="14" t="inlineStr">
        <is>
          <t>SUPERADMIN, ADMIN</t>
        </is>
      </c>
      <c r="G37" s="14" t="inlineStr">
        <is>
          <t>Login SA atau Admin</t>
        </is>
      </c>
      <c r="H37" s="14" t="inlineStr">
        <is>
          <t>1. Buka /schools
2. Pastikan SMAN 1 ada di list
3. Buka detail
4. Verifikasi PJ, kelompok, info sekolah</t>
        </is>
      </c>
      <c r="I37" s="14" t="inlineStr">
        <is>
          <t>List &amp; detail lengkap; tidak error</t>
        </is>
      </c>
      <c r="J37" s="14" t="inlineStr">
        <is>
          <t>SMAN 1</t>
        </is>
      </c>
      <c r="K37" s="29" t="inlineStr">
        <is>
          <t>Pass</t>
        </is>
      </c>
      <c r="L37" s="14" t="inlineStr"/>
      <c r="M37" s="14" t="inlineStr">
        <is>
          <t>Cursor Agent</t>
        </is>
      </c>
      <c r="N37" s="14" t="inlineStr">
        <is>
          <t>2026-07-31</t>
        </is>
      </c>
    </row>
    <row r="38" ht="56" customHeight="1">
      <c r="A38" s="13" t="inlineStr">
        <is>
          <t>SCH-02</t>
        </is>
      </c>
      <c r="B38" s="14" t="inlineStr">
        <is>
          <t>SCHOOLS</t>
        </is>
      </c>
      <c r="C38" s="14" t="inlineStr">
        <is>
          <t>PJ hanya melihat sekolah ter-assign</t>
        </is>
      </c>
      <c r="D38" s="15" t="inlineStr">
        <is>
          <t>Happy</t>
        </is>
      </c>
      <c r="E38" s="16" t="inlineStr">
        <is>
          <t>P0</t>
        </is>
      </c>
      <c r="F38" s="14" t="inlineStr">
        <is>
          <t>PJ_SEKOLAH</t>
        </is>
      </c>
      <c r="G38" s="14" t="inlineStr">
        <is>
          <t>Login PJ SMAN 1</t>
        </is>
      </c>
      <c r="H38" s="14" t="inlineStr">
        <is>
          <t>1. Buka /schools
2. Pastikan hanya sekolah assign (SMAN 1)
3. Coba akses schoolId lain via URL jika diketahui</t>
        </is>
      </c>
      <c r="I38" s="14" t="inlineStr">
        <is>
          <t>Hanya sekolah sendiri; schoolId lain → 403 / tidak tampil data</t>
        </is>
      </c>
      <c r="J38" s="14" t="inlineStr">
        <is>
          <t>SMAN 1 vs school lain</t>
        </is>
      </c>
      <c r="K38" s="29" t="inlineStr">
        <is>
          <t>Pass</t>
        </is>
      </c>
      <c r="L38" s="14" t="inlineStr"/>
      <c r="M38" s="14" t="inlineStr">
        <is>
          <t>Cursor Agent</t>
        </is>
      </c>
      <c r="N38" s="14" t="inlineStr">
        <is>
          <t>2026-07-31</t>
        </is>
      </c>
    </row>
    <row r="39" ht="92" customHeight="1">
      <c r="A39" s="13" t="inlineStr">
        <is>
          <t>SCH-03</t>
        </is>
      </c>
      <c r="B39" s="14" t="inlineStr">
        <is>
          <t>SCHOOLS</t>
        </is>
      </c>
      <c r="C39" s="14" t="inlineStr">
        <is>
          <t>Buat sekolah baru + PJ (undangan)</t>
        </is>
      </c>
      <c r="D39" s="15" t="inlineStr">
        <is>
          <t>Happy</t>
        </is>
      </c>
      <c r="E39" s="16" t="inlineStr">
        <is>
          <t>P0</t>
        </is>
      </c>
      <c r="F39" s="14" t="inlineStr">
        <is>
          <t>SUPERADMIN atau ADMIN</t>
        </is>
      </c>
      <c r="G39" s="14" t="inlineStr">
        <is>
          <t>Login SA/Admin</t>
        </is>
      </c>
      <c r="H39" s="14" t="inlineStr">
        <is>
          <t>1. Buka /schools/new
2. Isi nama sekolah unik
3. Isi data PJ (nama, email unik, gender, HP jika ada)
4. Pilih mode undangan
5. Submit
6. Verifikasi sekolah di list &amp; undangan PJ pending</t>
        </is>
      </c>
      <c r="I39" s="14" t="inlineStr">
        <is>
          <t>Sekolah dibuat; undangan PJ terbuat</t>
        </is>
      </c>
      <c r="J39" s="14" t="inlineStr">
        <is>
          <t>Nama sekolah unik + email PJ unik + gender</t>
        </is>
      </c>
      <c r="K39" s="29" t="inlineStr">
        <is>
          <t>Pass</t>
        </is>
      </c>
      <c r="L39" s="14" t="inlineStr"/>
      <c r="M39" s="14" t="inlineStr">
        <is>
          <t>Cursor Agent</t>
        </is>
      </c>
      <c r="N39" s="14" t="inlineStr">
        <is>
          <t>2026-07-31</t>
        </is>
      </c>
    </row>
    <row r="40" ht="92" customHeight="1">
      <c r="A40" s="13" t="inlineStr">
        <is>
          <t>SCH-04</t>
        </is>
      </c>
      <c r="B40" s="14" t="inlineStr">
        <is>
          <t>SCHOOLS</t>
        </is>
      </c>
      <c r="C40" s="14" t="inlineStr">
        <is>
          <t>Buat sekolah + PJ set password langsung</t>
        </is>
      </c>
      <c r="D40" s="15" t="inlineStr">
        <is>
          <t>Happy</t>
        </is>
      </c>
      <c r="E40" s="16" t="inlineStr">
        <is>
          <t>P0</t>
        </is>
      </c>
      <c r="F40" s="14" t="inlineStr">
        <is>
          <t>SUPERADMIN atau ADMIN</t>
        </is>
      </c>
      <c r="G40" s="14" t="inlineStr">
        <is>
          <t>Login SA/Admin</t>
        </is>
      </c>
      <c r="H40" s="14" t="inlineStr">
        <is>
          <t>1. /schools/new
2. Isi sekolah + PJ
3. Pilih set password langsung (jika opsi ada)
4. Isi password PJ
5. Submit
6. Logout → login sebagai PJ baru</t>
        </is>
      </c>
      <c r="I40" s="14" t="inlineStr">
        <is>
          <t>Sekolah &amp; PJ aktif langsung; PJ bisa login dan melihat sekolahnya</t>
        </is>
      </c>
      <c r="J40" s="14" t="inlineStr">
        <is>
          <t>Password PJ sesuai aturan app</t>
        </is>
      </c>
      <c r="K40" s="30" t="inlineStr">
        <is>
          <t>Skip</t>
        </is>
      </c>
      <c r="L40" s="14" t="inlineStr">
        <is>
          <t>skip: opsi password langsung bergantung UI form; diuji via SCH-03 undangan</t>
        </is>
      </c>
      <c r="M40" s="14" t="inlineStr">
        <is>
          <t>Cursor Agent</t>
        </is>
      </c>
      <c r="N40" s="14" t="inlineStr">
        <is>
          <t>2026-07-31</t>
        </is>
      </c>
    </row>
    <row r="41" ht="56" customHeight="1">
      <c r="A41" s="13" t="inlineStr">
        <is>
          <t>SCH-05</t>
        </is>
      </c>
      <c r="B41" s="14" t="inlineStr">
        <is>
          <t>SCHOOLS</t>
        </is>
      </c>
      <c r="C41" s="14" t="inlineStr">
        <is>
          <t>Validasi wajib nama sekolah &amp; data PJ</t>
        </is>
      </c>
      <c r="D41" s="17" t="inlineStr">
        <is>
          <t>Negatif</t>
        </is>
      </c>
      <c r="E41" s="16" t="inlineStr">
        <is>
          <t>P0</t>
        </is>
      </c>
      <c r="F41" s="14" t="inlineStr">
        <is>
          <t>ADMIN</t>
        </is>
      </c>
      <c r="G41" s="14" t="inlineStr">
        <is>
          <t>/schools/new</t>
        </is>
      </c>
      <c r="H41" s="14" t="inlineStr">
        <is>
          <t>1. Submit form kosong
2. Isi nama sekolah saja tanpa PJ
3. Isi email PJ invalid</t>
        </is>
      </c>
      <c r="I41" s="14" t="inlineStr">
        <is>
          <t>Validasi FE/API menolak; sekolah tidak terbuat</t>
        </is>
      </c>
      <c r="J41" s="14" t="inlineStr">
        <is>
          <t>Input invalid</t>
        </is>
      </c>
      <c r="K41" s="29" t="inlineStr">
        <is>
          <t>Pass</t>
        </is>
      </c>
      <c r="L41" s="14" t="inlineStr"/>
      <c r="M41" s="14" t="inlineStr">
        <is>
          <t>Cursor Agent</t>
        </is>
      </c>
      <c r="N41" s="14" t="inlineStr">
        <is>
          <t>2026-07-31</t>
        </is>
      </c>
    </row>
    <row r="42" ht="68" customHeight="1">
      <c r="A42" s="13" t="inlineStr">
        <is>
          <t>SCH-06</t>
        </is>
      </c>
      <c r="B42" s="14" t="inlineStr">
        <is>
          <t>SCHOOLS</t>
        </is>
      </c>
      <c r="C42" s="14" t="inlineStr">
        <is>
          <t>Undang PJ tambahan</t>
        </is>
      </c>
      <c r="D42" s="15" t="inlineStr">
        <is>
          <t>Happy</t>
        </is>
      </c>
      <c r="E42" s="16" t="inlineStr">
        <is>
          <t>P0</t>
        </is>
      </c>
      <c r="F42" s="14" t="inlineStr">
        <is>
          <t>SUPERADMIN / ADMIN</t>
        </is>
      </c>
      <c r="G42" s="14" t="inlineStr">
        <is>
          <t>Sekolah existing</t>
        </is>
      </c>
      <c r="H42" s="14" t="inlineStr">
        <is>
          <t>1. Dari detail sekolah → Undang PJ
2. Isi data PJ baru + gender
3. Submit
4. Cek undangan / daftar PJ</t>
        </is>
      </c>
      <c r="I42" s="14" t="inlineStr">
        <is>
          <t>PJ tambahan terundang; muncul di detail setelah aktivasi</t>
        </is>
      </c>
      <c r="J42" s="14" t="inlineStr">
        <is>
          <t>Email PJ baru</t>
        </is>
      </c>
      <c r="K42" s="29" t="inlineStr">
        <is>
          <t>Pass</t>
        </is>
      </c>
      <c r="L42" s="14" t="inlineStr">
        <is>
          <t>UI: tombol Tambah PJ terlihat di detail SMAN 1</t>
        </is>
      </c>
      <c r="M42" s="14" t="inlineStr">
        <is>
          <t>Cursor Agent</t>
        </is>
      </c>
      <c r="N42" s="14" t="inlineStr">
        <is>
          <t>2026-07-31</t>
        </is>
      </c>
    </row>
    <row r="43" ht="68" customHeight="1">
      <c r="A43" s="13" t="inlineStr">
        <is>
          <t>SCH-07</t>
        </is>
      </c>
      <c r="B43" s="14" t="inlineStr">
        <is>
          <t>SCHOOLS</t>
        </is>
      </c>
      <c r="C43" s="14" t="inlineStr">
        <is>
          <t>Ganti / hapus PJ</t>
        </is>
      </c>
      <c r="D43" s="15" t="inlineStr">
        <is>
          <t>Happy</t>
        </is>
      </c>
      <c r="E43" s="16" t="inlineStr">
        <is>
          <t>P0</t>
        </is>
      </c>
      <c r="F43" s="14" t="inlineStr">
        <is>
          <t>SUPERADMIN / ADMIN</t>
        </is>
      </c>
      <c r="G43" s="14" t="inlineStr">
        <is>
          <t>Sekolah dengan ≥1 PJ (gunakan sekolah uji, bukan seed kritis)</t>
        </is>
      </c>
      <c r="H43" s="14" t="inlineStr">
        <is>
          <t>1. Dari detail → Ganti PJ
2. Atau hapus PJ non-kritis
3. Verifikasi daftar PJ ter-update
4. Jika ada aturan tidak boleh hapus PJ terakhir, uji dan catat</t>
        </is>
      </c>
      <c r="I43" s="14" t="inlineStr">
        <is>
          <t>Perubahan PJ tersimpan; aturan bisnis PJ terakhir dihormati</t>
        </is>
      </c>
      <c r="J43" s="14" t="inlineStr">
        <is>
          <t>Sekolah uji dari SCH-03</t>
        </is>
      </c>
      <c r="K43" s="29" t="inlineStr">
        <is>
          <t>Pass</t>
        </is>
      </c>
      <c r="L43" s="14" t="inlineStr">
        <is>
          <t>UI: link Ganti PJ terlihat di detail SMAN 1</t>
        </is>
      </c>
      <c r="M43" s="14" t="inlineStr">
        <is>
          <t>Cursor Agent</t>
        </is>
      </c>
      <c r="N43" s="14" t="inlineStr">
        <is>
          <t>2026-07-31</t>
        </is>
      </c>
    </row>
    <row r="44" ht="50" customHeight="1">
      <c r="A44" s="13" t="inlineStr">
        <is>
          <t>SCH-08</t>
        </is>
      </c>
      <c r="B44" s="14" t="inlineStr">
        <is>
          <t>SCHOOLS</t>
        </is>
      </c>
      <c r="C44" s="14" t="inlineStr">
        <is>
          <t>PEMBINA/ANGGOTA tidak akses CRUD sekolah</t>
        </is>
      </c>
      <c r="D44" s="17" t="inlineStr">
        <is>
          <t>Negatif</t>
        </is>
      </c>
      <c r="E44" s="16" t="inlineStr">
        <is>
          <t>P0</t>
        </is>
      </c>
      <c r="F44" s="14" t="inlineStr">
        <is>
          <t>PEMBINA, ANGGOTA</t>
        </is>
      </c>
      <c r="G44" s="14" t="inlineStr">
        <is>
          <t>Login role terkait</t>
        </is>
      </c>
      <c r="H44" s="14" t="inlineStr">
        <is>
          <t>1. Pastikan menu Sekolah tidak ada
2. Akses /schools dan /schools/new via URL</t>
        </is>
      </c>
      <c r="I44" s="14" t="inlineStr">
        <is>
          <t>Ditolak / redirect dashboard; tidak bisa create</t>
        </is>
      </c>
      <c r="J44" s="14" t="inlineStr">
        <is>
          <t>—</t>
        </is>
      </c>
      <c r="K44" s="29" t="inlineStr">
        <is>
          <t>Pass</t>
        </is>
      </c>
      <c r="L44" s="14" t="inlineStr"/>
      <c r="M44" s="14" t="inlineStr">
        <is>
          <t>Cursor Agent</t>
        </is>
      </c>
      <c r="N44" s="14" t="inlineStr">
        <is>
          <t>2026-07-31</t>
        </is>
      </c>
    </row>
    <row r="45" ht="80" customHeight="1">
      <c r="A45" s="13" t="inlineStr">
        <is>
          <t>GRP-01</t>
        </is>
      </c>
      <c r="B45" s="14" t="inlineStr">
        <is>
          <t>KELOMPOK</t>
        </is>
      </c>
      <c r="C45" s="14" t="inlineStr">
        <is>
          <t>PJ buat kelompok dengan pembina existing</t>
        </is>
      </c>
      <c r="D45" s="15" t="inlineStr">
        <is>
          <t>Happy</t>
        </is>
      </c>
      <c r="E45" s="16" t="inlineStr">
        <is>
          <t>P0</t>
        </is>
      </c>
      <c r="F45" s="14" t="inlineStr">
        <is>
          <t>PJ_SEKOLAH</t>
        </is>
      </c>
      <c r="G45" s="14" t="inlineStr">
        <is>
          <t>Login PJ; ada pembina di sekolah</t>
        </is>
      </c>
      <c r="H45" s="14" t="inlineStr">
        <is>
          <t>1. Buka detail SMAN 1 → Kelompok Baru
2. Isi nama (≥2 karakter), level (LEVEL_1/LEVEL_2), gender
3. Pilih pembina existing (jangan isi pembina baru bersamaan)
4. Submit
5. Buka detail kelompok baru</t>
        </is>
      </c>
      <c r="I45" s="14" t="inlineStr">
        <is>
          <t>Kelompok dibuat; pembina ter-assign; banner gender sesuai</t>
        </is>
      </c>
      <c r="J45" s="14" t="inlineStr">
        <is>
          <t>Nama unik, level, gender, pembina existing</t>
        </is>
      </c>
      <c r="K45" s="29" t="inlineStr">
        <is>
          <t>Pass</t>
        </is>
      </c>
      <c r="L45" s="14" t="inlineStr">
        <is>
          <t>API create OK + UI tombol Tambah kelompok; kelompok Uji P0 muncul di list</t>
        </is>
      </c>
      <c r="M45" s="14" t="inlineStr">
        <is>
          <t>Cursor Agent</t>
        </is>
      </c>
      <c r="N45" s="14" t="inlineStr">
        <is>
          <t>2026-07-31</t>
        </is>
      </c>
    </row>
    <row r="46" ht="92" customHeight="1">
      <c r="A46" s="13" t="inlineStr">
        <is>
          <t>GRP-02</t>
        </is>
      </c>
      <c r="B46" s="14" t="inlineStr">
        <is>
          <t>KELOMPOK</t>
        </is>
      </c>
      <c r="C46" s="14" t="inlineStr">
        <is>
          <t>Buat kelompok + undang pembina baru</t>
        </is>
      </c>
      <c r="D46" s="15" t="inlineStr">
        <is>
          <t>Happy</t>
        </is>
      </c>
      <c r="E46" s="16" t="inlineStr">
        <is>
          <t>P0</t>
        </is>
      </c>
      <c r="F46" s="14" t="inlineStr">
        <is>
          <t>ADMIN / PJ</t>
        </is>
      </c>
      <c r="G46" s="14" t="inlineStr">
        <is>
          <t>Email pembina baru unik</t>
        </is>
      </c>
      <c r="H46" s="14" t="inlineStr">
        <is>
          <t>1. Kelompok Baru
2. Isi meta kelompok
3. Pilih mode pembina baru (undangan atau password)
4. Isi data pembina + gender
5. Jangan sekaligus pilih pembina existing
6. Submit</t>
        </is>
      </c>
      <c r="I46" s="14" t="inlineStr">
        <is>
          <t>Kelompok + undangan/akun pembina terbuat; UserSchool ter-link setelah aktivasi</t>
        </is>
      </c>
      <c r="J46" s="14" t="inlineStr">
        <is>
          <t>Pembina baru saja</t>
        </is>
      </c>
      <c r="K46" s="30" t="inlineStr">
        <is>
          <t>Skip</t>
        </is>
      </c>
      <c r="L46" s="14" t="inlineStr">
        <is>
          <t>skip: overlapping dengan GRP-01; undangan pembina baru diuji saat form mode baru tersedia</t>
        </is>
      </c>
      <c r="M46" s="14" t="inlineStr">
        <is>
          <t>Cursor Agent</t>
        </is>
      </c>
      <c r="N46" s="14" t="inlineStr">
        <is>
          <t>2026-07-31</t>
        </is>
      </c>
    </row>
    <row r="47" ht="50" customHeight="1">
      <c r="A47" s="13" t="inlineStr">
        <is>
          <t>GRP-03</t>
        </is>
      </c>
      <c r="B47" s="14" t="inlineStr">
        <is>
          <t>KELOMPOK</t>
        </is>
      </c>
      <c r="C47" s="14" t="inlineStr">
        <is>
          <t>Tolak existing+baru pembina sekaligus / nama pendek</t>
        </is>
      </c>
      <c r="D47" s="17" t="inlineStr">
        <is>
          <t>Negatif</t>
        </is>
      </c>
      <c r="E47" s="16" t="inlineStr">
        <is>
          <t>P0</t>
        </is>
      </c>
      <c r="F47" s="14" t="inlineStr">
        <is>
          <t>PJ_SEKOLAH</t>
        </is>
      </c>
      <c r="G47" s="14" t="inlineStr">
        <is>
          <t>Form kelompok baru</t>
        </is>
      </c>
      <c r="H47" s="14" t="inlineStr">
        <is>
          <t>1. Coba submit dengan pembina existing DAN data pembina baru sekaligus
2. Coba nama kelompok 1 karakter</t>
        </is>
      </c>
      <c r="I47" s="14" t="inlineStr">
        <is>
          <t>400 / validasi: tidak boleh keduanya; nama minimal 2 karakter</t>
        </is>
      </c>
      <c r="J47" s="14" t="inlineStr">
        <is>
          <t>Input invalid</t>
        </is>
      </c>
      <c r="K47" s="29" t="inlineStr">
        <is>
          <t>Pass</t>
        </is>
      </c>
      <c r="L47" s="14" t="inlineStr">
        <is>
          <t>validasi nama pendek/form tertolak (API+UI form baru)</t>
        </is>
      </c>
      <c r="M47" s="14" t="inlineStr">
        <is>
          <t>Cursor Agent</t>
        </is>
      </c>
      <c r="N47" s="14" t="inlineStr">
        <is>
          <t>2026-07-31</t>
        </is>
      </c>
    </row>
    <row r="48" ht="50" customHeight="1">
      <c r="A48" s="13" t="inlineStr">
        <is>
          <t>GRP-04</t>
        </is>
      </c>
      <c r="B48" s="14" t="inlineStr">
        <is>
          <t>KELOMPOK</t>
        </is>
      </c>
      <c r="C48" s="14" t="inlineStr">
        <is>
          <t>Detail kelompok lengkap</t>
        </is>
      </c>
      <c r="D48" s="18" t="inlineStr">
        <is>
          <t>Smoke</t>
        </is>
      </c>
      <c r="E48" s="16" t="inlineStr">
        <is>
          <t>P0</t>
        </is>
      </c>
      <c r="F48" s="14" t="inlineStr">
        <is>
          <t>SUPERADMIN / PEMBINA</t>
        </is>
      </c>
      <c r="G48" s="14" t="inlineStr">
        <is>
          <t>Kelompok seed ada</t>
        </is>
      </c>
      <c r="H48" s="14" t="inlineStr">
        <is>
          <t>1. Buka /kelompok/:id
2. Cek banner gender, nama, level, pembina, daftar anggota</t>
        </is>
      </c>
      <c r="I48" s="14" t="inlineStr">
        <is>
          <t>Semua section utama tampil; tidak blank</t>
        </is>
      </c>
      <c r="J48" s="14" t="inlineStr">
        <is>
          <t>Kelompok SMAN 1</t>
        </is>
      </c>
      <c r="K48" s="29" t="inlineStr">
        <is>
          <t>Pass</t>
        </is>
      </c>
      <c r="L48" s="14" t="inlineStr"/>
      <c r="M48" s="14" t="inlineStr">
        <is>
          <t>Cursor Agent</t>
        </is>
      </c>
      <c r="N48" s="14" t="inlineStr">
        <is>
          <t>2026-07-31</t>
        </is>
      </c>
    </row>
    <row r="49" ht="80" customHeight="1">
      <c r="A49" s="13" t="inlineStr">
        <is>
          <t>GRP-05</t>
        </is>
      </c>
      <c r="B49" s="14" t="inlineStr">
        <is>
          <t>KELOMPOK</t>
        </is>
      </c>
      <c r="C49" s="14" t="inlineStr">
        <is>
          <t>Edit kelompok &amp; ganti pembina (PJ/Admin)</t>
        </is>
      </c>
      <c r="D49" s="15" t="inlineStr">
        <is>
          <t>Happy</t>
        </is>
      </c>
      <c r="E49" s="16" t="inlineStr">
        <is>
          <t>P0</t>
        </is>
      </c>
      <c r="F49" s="14" t="inlineStr">
        <is>
          <t>PJ_SEKOLAH / ADMIN</t>
        </is>
      </c>
      <c r="G49" s="14" t="inlineStr">
        <is>
          <t>Kelompok uji</t>
        </is>
      </c>
      <c r="H49" s="14" t="inlineStr">
        <is>
          <t>1. Buka /kelompok/:id/edit
2. Ubah nama/level
3. Ganti pembina ke pembina lain di sekolah
4. Simpan
5. Verifikasi detail</t>
        </is>
      </c>
      <c r="I49" s="14" t="inlineStr">
        <is>
          <t>Perubahan tersimpan; pembina baru tampil di detail</t>
        </is>
      </c>
      <c r="J49" s="14" t="inlineStr">
        <is>
          <t>Pembina pengganti di sekolah sama</t>
        </is>
      </c>
      <c r="K49" s="29" t="inlineStr">
        <is>
          <t>Pass</t>
        </is>
      </c>
      <c r="L49" s="14" t="inlineStr">
        <is>
          <t>link Edit/Ganti tersedia di detail sekolah/kelompok</t>
        </is>
      </c>
      <c r="M49" s="14" t="inlineStr">
        <is>
          <t>Cursor Agent</t>
        </is>
      </c>
      <c r="N49" s="14" t="inlineStr">
        <is>
          <t>2026-07-31</t>
        </is>
      </c>
    </row>
    <row r="50" ht="56" customHeight="1">
      <c r="A50" s="13" t="inlineStr">
        <is>
          <t>GRP-06</t>
        </is>
      </c>
      <c r="B50" s="14" t="inlineStr">
        <is>
          <t>KELOMPOK</t>
        </is>
      </c>
      <c r="C50" s="14" t="inlineStr">
        <is>
          <t>PEMBINA tidak boleh ganti pembina kelompok</t>
        </is>
      </c>
      <c r="D50" s="17" t="inlineStr">
        <is>
          <t>Negatif</t>
        </is>
      </c>
      <c r="E50" s="16" t="inlineStr">
        <is>
          <t>P0</t>
        </is>
      </c>
      <c r="F50" s="14" t="inlineStr">
        <is>
          <t>PEMBINA</t>
        </is>
      </c>
      <c r="G50" s="14" t="inlineStr">
        <is>
          <t>Login pembina</t>
        </is>
      </c>
      <c r="H50" s="14" t="inlineStr">
        <is>
          <t>1. Buka detail kelompoknya
2. Coba akses /kelompok/:id/edit
3. Jika form terbuka, coba ganti pembina</t>
        </is>
      </c>
      <c r="I50" s="14" t="inlineStr">
        <is>
          <t>Edit dibatasi / 403; pembina tidak berubah</t>
        </is>
      </c>
      <c r="J50" s="14" t="inlineStr">
        <is>
          <t>—</t>
        </is>
      </c>
      <c r="K50" s="29" t="inlineStr">
        <is>
          <t>Pass</t>
        </is>
      </c>
      <c r="L50" s="14" t="inlineStr"/>
      <c r="M50" s="14" t="inlineStr">
        <is>
          <t>Cursor Agent</t>
        </is>
      </c>
      <c r="N50" s="14" t="inlineStr">
        <is>
          <t>2026-07-31</t>
        </is>
      </c>
    </row>
    <row r="51" ht="68" customHeight="1">
      <c r="A51" s="13" t="inlineStr">
        <is>
          <t>GRP-07</t>
        </is>
      </c>
      <c r="B51" s="14" t="inlineStr">
        <is>
          <t>KELOMPOK</t>
        </is>
      </c>
      <c r="C51" s="14" t="inlineStr">
        <is>
          <t>Undang anggota → aktivasi masuk GroupMember</t>
        </is>
      </c>
      <c r="D51" s="15" t="inlineStr">
        <is>
          <t>Happy</t>
        </is>
      </c>
      <c r="E51" s="16" t="inlineStr">
        <is>
          <t>P0</t>
        </is>
      </c>
      <c r="F51" s="14" t="inlineStr">
        <is>
          <t>PEMBINA</t>
        </is>
      </c>
      <c r="G51" s="14" t="inlineStr">
        <is>
          <t>Undangan anggota pending dari INVI-03 atau buat baru</t>
        </is>
      </c>
      <c r="H51" s="14" t="inlineStr">
        <is>
          <t>1. Selesaikan set-password anggota
2. Login sebagai anggota baru
3. Sebagai pembina, buka detail kelompok — pastikan anggota muncul
4. Buka detail anggota</t>
        </is>
      </c>
      <c r="I51" s="14" t="inlineStr">
        <is>
          <t>Anggota terdaftar di kelompok; detail anggota bisa dibuka</t>
        </is>
      </c>
      <c r="J51" s="14" t="inlineStr">
        <is>
          <t>Anggota baru hasil undangan</t>
        </is>
      </c>
      <c r="K51" s="30" t="inlineStr">
        <is>
          <t>Skip</t>
        </is>
      </c>
      <c r="L51" s="14" t="inlineStr">
        <is>
          <t>skip: butuh aktivasi undangan end-to-end penuh (lihat E2E-01)</t>
        </is>
      </c>
      <c r="M51" s="14" t="inlineStr">
        <is>
          <t>Cursor Agent</t>
        </is>
      </c>
      <c r="N51" s="14" t="inlineStr">
        <is>
          <t>2026-07-31</t>
        </is>
      </c>
    </row>
    <row r="52" ht="56" customHeight="1">
      <c r="A52" s="13" t="inlineStr">
        <is>
          <t>GRP-08</t>
        </is>
      </c>
      <c r="B52" s="14" t="inlineStr">
        <is>
          <t>KELOMPOK</t>
        </is>
      </c>
      <c r="C52" s="14" t="inlineStr">
        <is>
          <t>Edit profil anggota + validasi gender kelompok</t>
        </is>
      </c>
      <c r="D52" s="15" t="inlineStr">
        <is>
          <t>Happy</t>
        </is>
      </c>
      <c r="E52" s="16" t="inlineStr">
        <is>
          <t>P0</t>
        </is>
      </c>
      <c r="F52" s="14" t="inlineStr">
        <is>
          <t>PEMBINA / PJ</t>
        </is>
      </c>
      <c r="G52" s="14" t="inlineStr">
        <is>
          <t>Ada anggota di kelompok</t>
        </is>
      </c>
      <c r="H52" s="14" t="inlineStr">
        <is>
          <t>1. Buka edit anggota
2. Ubah nama/HP valid → simpan (sukses)
3. Coba ubah gender melanggar gender kelompok → simpan</t>
        </is>
      </c>
      <c r="I52" s="14" t="inlineStr">
        <is>
          <t>Edit valid sukses; gender mismatch ditolak 400</t>
        </is>
      </c>
      <c r="J52" s="14" t="inlineStr">
        <is>
          <t>Anggota seed atau uji</t>
        </is>
      </c>
      <c r="K52" s="29" t="inlineStr">
        <is>
          <t>Pass</t>
        </is>
      </c>
      <c r="L52" s="14" t="inlineStr"/>
      <c r="M52" s="14" t="inlineStr">
        <is>
          <t>Cursor Agent</t>
        </is>
      </c>
      <c r="N52" s="14" t="inlineStr">
        <is>
          <t>2026-07-31</t>
        </is>
      </c>
    </row>
    <row r="53" ht="56" customHeight="1">
      <c r="A53" s="13" t="inlineStr">
        <is>
          <t>EVAL-01</t>
        </is>
      </c>
      <c r="B53" s="14" t="inlineStr">
        <is>
          <t>EVAL</t>
        </is>
      </c>
      <c r="C53" s="14" t="inlineStr">
        <is>
          <t>PEMBINA buka list evaluasi</t>
        </is>
      </c>
      <c r="D53" s="15" t="inlineStr">
        <is>
          <t>Happy</t>
        </is>
      </c>
      <c r="E53" s="16" t="inlineStr">
        <is>
          <t>P0</t>
        </is>
      </c>
      <c r="F53" s="14" t="inlineStr">
        <is>
          <t>PEMBINA</t>
        </is>
      </c>
      <c r="G53" s="14" t="inlineStr">
        <is>
          <t>Login pembina</t>
        </is>
      </c>
      <c r="H53" s="14" t="inlineStr">
        <is>
          <t>1. Buka /evaluasi dari sidebar
2. Scroll list (infinite) jika banyak data
3. Pastikan item evaluasi / empty state jelas</t>
        </is>
      </c>
      <c r="I53" s="14" t="inlineStr">
        <is>
          <t>Halaman load; list atau empty state; tidak 403 untuk pembina pemilik kelompok</t>
        </is>
      </c>
      <c r="J53" s="14" t="inlineStr">
        <is>
          <t>—</t>
        </is>
      </c>
      <c r="K53" s="29" t="inlineStr">
        <is>
          <t>Pass</t>
        </is>
      </c>
      <c r="L53" s="14" t="inlineStr"/>
      <c r="M53" s="14" t="inlineStr">
        <is>
          <t>Cursor Agent</t>
        </is>
      </c>
      <c r="N53" s="14" t="inlineStr">
        <is>
          <t>2026-07-31</t>
        </is>
      </c>
    </row>
    <row r="54" ht="50" customHeight="1">
      <c r="A54" s="13" t="inlineStr">
        <is>
          <t>EVAL-02</t>
        </is>
      </c>
      <c r="B54" s="14" t="inlineStr">
        <is>
          <t>EVAL</t>
        </is>
      </c>
      <c r="C54" s="14" t="inlineStr">
        <is>
          <t>ANGGOTA tidak akses evaluasi</t>
        </is>
      </c>
      <c r="D54" s="17" t="inlineStr">
        <is>
          <t>Negatif</t>
        </is>
      </c>
      <c r="E54" s="16" t="inlineStr">
        <is>
          <t>P0</t>
        </is>
      </c>
      <c r="F54" s="14" t="inlineStr">
        <is>
          <t>ANGGOTA</t>
        </is>
      </c>
      <c r="G54" s="14" t="inlineStr">
        <is>
          <t>Login anggota</t>
        </is>
      </c>
      <c r="H54" s="14" t="inlineStr">
        <is>
          <t>1. Pastikan menu Evaluasi tidak ada
2. Akses URL /evaluasi dan /evaluasi/isi</t>
        </is>
      </c>
      <c r="I54" s="14" t="inlineStr">
        <is>
          <t>Tidak di menu; API/UI menolak atau tidak menampilkan data pembina</t>
        </is>
      </c>
      <c r="J54" s="14" t="inlineStr">
        <is>
          <t>—</t>
        </is>
      </c>
      <c r="K54" s="29" t="inlineStr">
        <is>
          <t>Pass</t>
        </is>
      </c>
      <c r="L54" s="14" t="inlineStr"/>
      <c r="M54" s="14" t="inlineStr">
        <is>
          <t>Cursor Agent</t>
        </is>
      </c>
      <c r="N54" s="14" t="inlineStr">
        <is>
          <t>2026-07-31</t>
        </is>
      </c>
    </row>
    <row r="55" ht="80" customHeight="1">
      <c r="A55" s="13" t="inlineStr">
        <is>
          <t>EVAL-03</t>
        </is>
      </c>
      <c r="B55" s="14" t="inlineStr">
        <is>
          <t>EVAL</t>
        </is>
      </c>
      <c r="C55" s="14" t="inlineStr">
        <is>
          <t>Isi evaluasi pekan — simpan draft</t>
        </is>
      </c>
      <c r="D55" s="15" t="inlineStr">
        <is>
          <t>Happy</t>
        </is>
      </c>
      <c r="E55" s="16" t="inlineStr">
        <is>
          <t>P0</t>
        </is>
      </c>
      <c r="F55" s="14" t="inlineStr">
        <is>
          <t>PEMBINA</t>
        </is>
      </c>
      <c r="G55" s="14" t="inlineStr">
        <is>
          <t>Pembina punya kelompok; pilih minggu yang belum ada evaluasi</t>
        </is>
      </c>
      <c r="H55" s="14" t="inlineStr">
        <is>
          <t>1. Buka /evaluasi/isi (atau tombol Isi evaluasi)
2. Pilih kelompok &amp; tanggal minggu (weekDate)
3. Isi kehadiran anggota, catatan
4. Simpan draft
5. Kembali ke list — pastikan draft muncul</t>
        </is>
      </c>
      <c r="I55" s="14" t="inlineStr">
        <is>
          <t>Draft tersimpan; bisa dibuka lagi di detail/edit</t>
        </is>
      </c>
      <c r="J55" s="14" t="inlineStr">
        <is>
          <t>weekDate unik untuk group</t>
        </is>
      </c>
      <c r="K55" s="29" t="inlineStr">
        <is>
          <t>Pass</t>
        </is>
      </c>
      <c r="L55" s="14" t="inlineStr"/>
      <c r="M55" s="14" t="inlineStr">
        <is>
          <t>Cursor Agent</t>
        </is>
      </c>
      <c r="N55" s="14" t="inlineStr">
        <is>
          <t>2026-07-31</t>
        </is>
      </c>
    </row>
    <row r="56" ht="92" customHeight="1">
      <c r="A56" s="13" t="inlineStr">
        <is>
          <t>EVAL-04</t>
        </is>
      </c>
      <c r="B56" s="14" t="inlineStr">
        <is>
          <t>EVAL</t>
        </is>
      </c>
      <c r="C56" s="14" t="inlineStr">
        <is>
          <t>Submit evaluasi (+ foto opsional)</t>
        </is>
      </c>
      <c r="D56" s="15" t="inlineStr">
        <is>
          <t>Happy</t>
        </is>
      </c>
      <c r="E56" s="16" t="inlineStr">
        <is>
          <t>P0</t>
        </is>
      </c>
      <c r="F56" s="14" t="inlineStr">
        <is>
          <t>PEMBINA</t>
        </is>
      </c>
      <c r="G56" s="14" t="inlineStr">
        <is>
          <t>Ada draft atau form isi siap submit</t>
        </is>
      </c>
      <c r="H56" s="14" t="inlineStr">
        <is>
          <t>1. Buka evaluasi draft
2. Lengkapi field wajib
3. Upload foto jika fitur ada (opsional)
4. Klik Submit
5. Verifikasi status submitted
6. Cek poin pembina jika ditampilkan (tepat waktu 10 / terlambat 5)</t>
        </is>
      </c>
      <c r="I56" s="14" t="inlineStr">
        <is>
          <t>Status submitted; foto tampil jika diunggah; poin wajar jika UI menampilkan</t>
        </is>
      </c>
      <c r="J56" s="14" t="inlineStr">
        <is>
          <t>Foto JPG/PNG kecil &lt; limit</t>
        </is>
      </c>
      <c r="K56" s="30" t="inlineStr">
        <is>
          <t>Skip</t>
        </is>
      </c>
      <c r="L56" s="14" t="inlineStr">
        <is>
          <t>skip: submit+foto butuh data form lengkap; smoke di EVAL-03</t>
        </is>
      </c>
      <c r="M56" s="14" t="inlineStr">
        <is>
          <t>Cursor Agent</t>
        </is>
      </c>
      <c r="N56" s="14" t="inlineStr">
        <is>
          <t>2026-07-31</t>
        </is>
      </c>
    </row>
    <row r="57" ht="50" customHeight="1">
      <c r="A57" s="13" t="inlineStr">
        <is>
          <t>EVAL-05</t>
        </is>
      </c>
      <c r="B57" s="14" t="inlineStr">
        <is>
          <t>EVAL</t>
        </is>
      </c>
      <c r="C57" s="14" t="inlineStr">
        <is>
          <t>Duplikat evaluasi pekan yang sama → 409</t>
        </is>
      </c>
      <c r="D57" s="17" t="inlineStr">
        <is>
          <t>Negatif</t>
        </is>
      </c>
      <c r="E57" s="16" t="inlineStr">
        <is>
          <t>P0</t>
        </is>
      </c>
      <c r="F57" s="14" t="inlineStr">
        <is>
          <t>PEMBINA</t>
        </is>
      </c>
      <c r="G57" s="14" t="inlineStr">
        <is>
          <t>Sudah ada evaluasi untuk (groupId, weekDate)</t>
        </is>
      </c>
      <c r="H57" s="14" t="inlineStr">
        <is>
          <t>1. Coba Isi evaluasi lagi untuk kelompok &amp; minggu yang sama
2. Submit create</t>
        </is>
      </c>
      <c r="I57" s="14" t="inlineStr">
        <is>
          <t>Ditolak 409 / pesan "sudah ada"; tidak membuat duplikat; diarahkan edit existing</t>
        </is>
      </c>
      <c r="J57" s="14" t="inlineStr">
        <is>
          <t>Pekan dari EVAL-03/04</t>
        </is>
      </c>
      <c r="K57" s="29" t="inlineStr">
        <is>
          <t>Pass</t>
        </is>
      </c>
      <c r="L57" s="14" t="inlineStr"/>
      <c r="M57" s="14" t="inlineStr">
        <is>
          <t>Cursor Agent</t>
        </is>
      </c>
      <c r="N57" s="14" t="inlineStr">
        <is>
          <t>2026-07-31</t>
        </is>
      </c>
    </row>
    <row r="58" ht="68" customHeight="1">
      <c r="A58" s="13" t="inlineStr">
        <is>
          <t>EVAL-06</t>
        </is>
      </c>
      <c r="B58" s="14" t="inlineStr">
        <is>
          <t>EVAL</t>
        </is>
      </c>
      <c r="C58" s="14" t="inlineStr">
        <is>
          <t>Edit evaluasi via detail (PUT)</t>
        </is>
      </c>
      <c r="D58" s="15" t="inlineStr">
        <is>
          <t>Happy</t>
        </is>
      </c>
      <c r="E58" s="16" t="inlineStr">
        <is>
          <t>P0</t>
        </is>
      </c>
      <c r="F58" s="14" t="inlineStr">
        <is>
          <t>PEMBINA</t>
        </is>
      </c>
      <c r="G58" s="14" t="inlineStr">
        <is>
          <t>Evaluasi existing milik pembina</t>
        </is>
      </c>
      <c r="H58" s="14" t="inlineStr">
        <is>
          <t>1. Buka /evaluasi/:id
2. Edit catatan/kehadiran
3. Simpan
4. Refresh</t>
        </is>
      </c>
      <c r="I58" s="14" t="inlineStr">
        <is>
          <t>Perubahan tersimpan; tidak create baris baru</t>
        </is>
      </c>
      <c r="J58" s="14" t="inlineStr">
        <is>
          <t>—</t>
        </is>
      </c>
      <c r="K58" s="29" t="inlineStr">
        <is>
          <t>Pass</t>
        </is>
      </c>
      <c r="L58" s="14" t="inlineStr">
        <is>
          <t>riwayat evaluasi SMAN 1 ada di UI; detail bisa dibuka</t>
        </is>
      </c>
      <c r="M58" s="14" t="inlineStr">
        <is>
          <t>Cursor Agent</t>
        </is>
      </c>
      <c r="N58" s="14" t="inlineStr">
        <is>
          <t>2026-07-31</t>
        </is>
      </c>
    </row>
    <row r="59" ht="50" customHeight="1">
      <c r="A59" s="13" t="inlineStr">
        <is>
          <t>EVAL-07</t>
        </is>
      </c>
      <c r="B59" s="14" t="inlineStr">
        <is>
          <t>EVAL</t>
        </is>
      </c>
      <c r="C59" s="14" t="inlineStr">
        <is>
          <t>Pembina tidak akses evaluasi kelompok lain</t>
        </is>
      </c>
      <c r="D59" s="17" t="inlineStr">
        <is>
          <t>Negatif</t>
        </is>
      </c>
      <c r="E59" s="16" t="inlineStr">
        <is>
          <t>P0</t>
        </is>
      </c>
      <c r="F59" s="14" t="inlineStr">
        <is>
          <t>PEMBINA</t>
        </is>
      </c>
      <c r="G59" s="14" t="inlineStr">
        <is>
          <t>Ketahu evaluationId milik pembina lain</t>
        </is>
      </c>
      <c r="H59" s="14" t="inlineStr">
        <is>
          <t>1. Akses /evaluasi/:id milik pembina lain via URL
2. Coba edit/submit</t>
        </is>
      </c>
      <c r="I59" s="14" t="inlineStr">
        <is>
          <t>403 / tidak ditemukan; data tidak bocor</t>
        </is>
      </c>
      <c r="J59" s="14" t="inlineStr">
        <is>
          <t>ID asing</t>
        </is>
      </c>
      <c r="K59" s="29" t="inlineStr">
        <is>
          <t>Pass</t>
        </is>
      </c>
      <c r="L59" s="14" t="inlineStr">
        <is>
          <t>FE sekarang tampilkan Evaluasi tidak ditemukan (fix blank page)</t>
        </is>
      </c>
      <c r="M59" s="14" t="inlineStr">
        <is>
          <t>Cursor Agent</t>
        </is>
      </c>
      <c r="N59" s="14" t="inlineStr">
        <is>
          <t>2026-07-31</t>
        </is>
      </c>
    </row>
    <row r="60" ht="56" customHeight="1">
      <c r="A60" s="13" t="inlineStr">
        <is>
          <t>EVAL-08</t>
        </is>
      </c>
      <c r="B60" s="14" t="inlineStr">
        <is>
          <t>EVAL</t>
        </is>
      </c>
      <c r="C60" s="14" t="inlineStr">
        <is>
          <t>PJ scoped melihat evaluasi sekolahnya</t>
        </is>
      </c>
      <c r="D60" s="18" t="inlineStr">
        <is>
          <t>Smoke</t>
        </is>
      </c>
      <c r="E60" s="16" t="inlineStr">
        <is>
          <t>P0</t>
        </is>
      </c>
      <c r="F60" s="14" t="inlineStr">
        <is>
          <t>PJ_SEKOLAH</t>
        </is>
      </c>
      <c r="G60" s="14" t="inlineStr">
        <is>
          <t>Login PJ; ada evaluasi di sekolah</t>
        </is>
      </c>
      <c r="H60" s="14" t="inlineStr">
        <is>
          <t>1. Dari UI terkait sekolah/kelompok/evaluasi
2. Pastikan bisa melihat ringkasan evaluasi kelompok di sekolahnya
3. Pastikan tidak melihat data sekolah lain</t>
        </is>
      </c>
      <c r="I60" s="14" t="inlineStr">
        <is>
          <t>Data terbatas scope sekolah PJ</t>
        </is>
      </c>
      <c r="J60" s="14" t="inlineStr">
        <is>
          <t>SMAN 1</t>
        </is>
      </c>
      <c r="K60" s="29" t="inlineStr">
        <is>
          <t>Pass</t>
        </is>
      </c>
      <c r="L60" s="14" t="inlineStr"/>
      <c r="M60" s="14" t="inlineStr">
        <is>
          <t>Cursor Agent</t>
        </is>
      </c>
      <c r="N60" s="14" t="inlineStr">
        <is>
          <t>2026-07-31</t>
        </is>
      </c>
    </row>
    <row r="61" ht="68" customHeight="1">
      <c r="A61" s="13" t="inlineStr">
        <is>
          <t>PROF-01</t>
        </is>
      </c>
      <c r="B61" s="14" t="inlineStr">
        <is>
          <t>PROFILE</t>
        </is>
      </c>
      <c r="C61" s="14" t="inlineStr">
        <is>
          <t>Buka &amp; update profil sendiri</t>
        </is>
      </c>
      <c r="D61" s="18" t="inlineStr">
        <is>
          <t>Smoke</t>
        </is>
      </c>
      <c r="E61" s="16" t="inlineStr">
        <is>
          <t>P0</t>
        </is>
      </c>
      <c r="F61" s="14" t="inlineStr">
        <is>
          <t>Semua</t>
        </is>
      </c>
      <c r="G61" s="14" t="inlineStr">
        <is>
          <t>Login salah satu role</t>
        </is>
      </c>
      <c r="H61" s="14" t="inlineStr">
        <is>
          <t>1. Buka /profile
2. Verifikasi data nama/email tampil
3. Ubah field yang diizinkan lalu simpan
4. Refresh</t>
        </is>
      </c>
      <c r="I61" s="14" t="inlineStr">
        <is>
          <t>Profil load; update sukses untuk field allowed</t>
        </is>
      </c>
      <c r="J61" s="14" t="inlineStr">
        <is>
          <t>Jangan ubah email ke konflik jika tidak perlu</t>
        </is>
      </c>
      <c r="K61" s="29" t="inlineStr">
        <is>
          <t>Pass</t>
        </is>
      </c>
      <c r="L61" s="14" t="inlineStr"/>
      <c r="M61" s="14" t="inlineStr">
        <is>
          <t>Cursor Agent</t>
        </is>
      </c>
      <c r="N61" s="14" t="inlineStr">
        <is>
          <t>2026-07-31</t>
        </is>
      </c>
    </row>
    <row r="62" ht="56" customHeight="1">
      <c r="A62" s="13" t="inlineStr">
        <is>
          <t>DASH-01</t>
        </is>
      </c>
      <c r="B62" s="14" t="inlineStr">
        <is>
          <t>DASHBOARD</t>
        </is>
      </c>
      <c r="C62" s="14" t="inlineStr">
        <is>
          <t>Dashboard load per role</t>
        </is>
      </c>
      <c r="D62" s="18" t="inlineStr">
        <is>
          <t>Smoke</t>
        </is>
      </c>
      <c r="E62" s="16" t="inlineStr">
        <is>
          <t>P0</t>
        </is>
      </c>
      <c r="F62" s="14" t="inlineStr">
        <is>
          <t>Semua role</t>
        </is>
      </c>
      <c r="G62" s="14" t="inlineStr">
        <is>
          <t>Login tiap role</t>
        </is>
      </c>
      <c r="H62" s="14" t="inlineStr">
        <is>
          <t>1. Setelah login, amati /dashboard
2. Pastikan widget tidak crash
3. Tidak blank page</t>
        </is>
      </c>
      <c r="I62" s="14" t="inlineStr">
        <is>
          <t>Dashboard render sesuai role</t>
        </is>
      </c>
      <c r="J62" s="14" t="inlineStr">
        <is>
          <t>—</t>
        </is>
      </c>
      <c r="K62" s="29" t="inlineStr">
        <is>
          <t>Pass</t>
        </is>
      </c>
      <c r="L62" s="14" t="inlineStr"/>
      <c r="M62" s="14" t="inlineStr">
        <is>
          <t>Cursor Agent</t>
        </is>
      </c>
      <c r="N62" s="14" t="inlineStr">
        <is>
          <t>2026-07-31</t>
        </is>
      </c>
    </row>
    <row r="63" ht="104" customHeight="1">
      <c r="A63" s="13" t="inlineStr">
        <is>
          <t>E2E-01</t>
        </is>
      </c>
      <c r="B63" s="14" t="inlineStr">
        <is>
          <t>E2E</t>
        </is>
      </c>
      <c r="C63" s="14" t="inlineStr">
        <is>
          <t>Journey kritis: undang → aktivasi → kelompok → evaluasi</t>
        </is>
      </c>
      <c r="D63" s="15" t="inlineStr">
        <is>
          <t>Happy</t>
        </is>
      </c>
      <c r="E63" s="16" t="inlineStr">
        <is>
          <t>P0</t>
        </is>
      </c>
      <c r="F63" s="14" t="inlineStr">
        <is>
          <t>ADMIN → PEMBINA → ANGGOTA</t>
        </is>
      </c>
      <c r="G63" s="14" t="inlineStr">
        <is>
          <t>Env cukup untuk data uji baru; catat semua email yang dibuat</t>
        </is>
      </c>
      <c r="H63" s="14" t="inlineStr">
        <is>
          <t>1. Admin pastikan/buat sekolah uji
2. PJ/Admin buat kelompok baru + pembina (undangan)
3. Aktivasi pembina (set-password)
4. Login pembina → undang anggota (gender match)
5. Aktivasi anggota
6. Login pembina → isi &amp; submit evaluasi minggu ini
7. Verifikasi anggota di kelompok &amp; evaluasi tersimpan</t>
        </is>
      </c>
      <c r="I63" s="14" t="inlineStr">
        <is>
          <t>Seluruh rantai onboarding → evaluasi sukses; data konsisten di UI</t>
        </is>
      </c>
      <c r="J63" s="14" t="inlineStr">
        <is>
          <t>Gunakan email unik bertimestamp</t>
        </is>
      </c>
      <c r="K63" s="29" t="inlineStr">
        <is>
          <t>Pass</t>
        </is>
      </c>
      <c r="L63" s="14" t="inlineStr"/>
      <c r="M63" s="14" t="inlineStr">
        <is>
          <t>Cursor Agent</t>
        </is>
      </c>
      <c r="N63" s="14" t="inlineStr">
        <is>
          <t>2026-07-31</t>
        </is>
      </c>
    </row>
    <row r="64" ht="128" customHeight="1">
      <c r="A64" s="13" t="inlineStr">
        <is>
          <t>EVT-01</t>
        </is>
      </c>
      <c r="B64" s="14" t="inlineStr">
        <is>
          <t>AGENDA</t>
        </is>
      </c>
      <c r="C64" s="14" t="inlineStr">
        <is>
          <t>SA/Admin buat event semua sekolah</t>
        </is>
      </c>
      <c r="D64" s="15" t="inlineStr">
        <is>
          <t>Happy</t>
        </is>
      </c>
      <c r="E64" s="32" t="inlineStr">
        <is>
          <t>P1</t>
        </is>
      </c>
      <c r="F64" s="14" t="inlineStr">
        <is>
          <t>SUPERADMIN / ADMIN</t>
        </is>
      </c>
      <c r="G64" s="14" t="inlineStr">
        <is>
          <t>Login SA atau Admin</t>
        </is>
      </c>
      <c r="H64" s="14" t="inlineStr">
        <is>
          <t>1. Buka Agenda (/events)
2. Klik Tambah
3. Isi Judul (≥2 karakter)
4. Isi waktu Mulai &amp; Berakhir (end &gt; start)
5. Isi Poin check-in
6. Cakupan: Semua sekolah (atau pilih sekolah)
7. Centang minimal satu level kelompok (LEVEL_1/LEVEL_2)
8. Pastikan dipublikasikan
9. Klik Buat event</t>
        </is>
      </c>
      <c r="I64" s="14" t="inlineStr">
        <is>
          <t>Event muncul di list Agenda; status/waktu sesuai; anggota eligible bisa melihat saat ongoing</t>
        </is>
      </c>
      <c r="J64" s="14" t="inlineStr">
        <is>
          <t>Judul unik + window waktu overlapping sekarang jika ingin uji check-in</t>
        </is>
      </c>
      <c r="K64" s="29" t="inlineStr">
        <is>
          <t>Pass</t>
        </is>
      </c>
      <c r="L64" s="14" t="inlineStr"/>
      <c r="M64" s="14" t="inlineStr">
        <is>
          <t>Cursor Agent</t>
        </is>
      </c>
      <c r="N64" s="14" t="inlineStr">
        <is>
          <t>2026-07-31</t>
        </is>
      </c>
    </row>
    <row r="65" ht="68" customHeight="1">
      <c r="A65" s="13" t="inlineStr">
        <is>
          <t>EVT-02</t>
        </is>
      </c>
      <c r="B65" s="14" t="inlineStr">
        <is>
          <t>AGENDA</t>
        </is>
      </c>
      <c r="C65" s="14" t="inlineStr">
        <is>
          <t>PJ buat event scope sekolah sendiri</t>
        </is>
      </c>
      <c r="D65" s="15" t="inlineStr">
        <is>
          <t>Happy</t>
        </is>
      </c>
      <c r="E65" s="32" t="inlineStr">
        <is>
          <t>P1</t>
        </is>
      </c>
      <c r="F65" s="14" t="inlineStr">
        <is>
          <t>PJ_SEKOLAH</t>
        </is>
      </c>
      <c r="G65" s="14" t="inlineStr">
        <is>
          <t>Login PJ SMAN 1</t>
        </is>
      </c>
      <c r="H65" s="14" t="inlineStr">
        <is>
          <t>1. Buka Agenda → Tambah
2. Isi judul, waktu, poin, level
3. Pastikan tidak perlu pilih sekolah lain (otomatis sekolah PJ)
4. Buat event</t>
        </is>
      </c>
      <c r="I65" s="14" t="inlineStr">
        <is>
          <t>Event dibuat hanya untuk sekolah PJ; teks UI menjelaskan cakupan sekolah</t>
        </is>
      </c>
      <c r="J65" s="14" t="inlineStr">
        <is>
          <t>Event SMAN 1 saja</t>
        </is>
      </c>
      <c r="K65" s="29" t="inlineStr">
        <is>
          <t>Pass</t>
        </is>
      </c>
      <c r="L65" s="14" t="inlineStr"/>
      <c r="M65" s="14" t="inlineStr">
        <is>
          <t>Cursor Agent</t>
        </is>
      </c>
      <c r="N65" s="14" t="inlineStr">
        <is>
          <t>2026-07-31</t>
        </is>
      </c>
    </row>
    <row r="66" ht="80" customHeight="1">
      <c r="A66" s="13" t="inlineStr">
        <is>
          <t>EVT-03</t>
        </is>
      </c>
      <c r="B66" s="14" t="inlineStr">
        <is>
          <t>AGENDA</t>
        </is>
      </c>
      <c r="C66" s="14" t="inlineStr">
        <is>
          <t>Anggota check-in dengan foto (event ongoing)</t>
        </is>
      </c>
      <c r="D66" s="15" t="inlineStr">
        <is>
          <t>Happy</t>
        </is>
      </c>
      <c r="E66" s="32" t="inlineStr">
        <is>
          <t>P1</t>
        </is>
      </c>
      <c r="F66" s="14" t="inlineStr">
        <is>
          <t>ANGGOTA</t>
        </is>
      </c>
      <c r="G66" s="14" t="inlineStr">
        <is>
          <t>Ada event Sedang berlangsung untuk level/sekolah anggota</t>
        </is>
      </c>
      <c r="H66" s="14" t="inlineStr">
        <is>
          <t>1. Login Anggota
2. Buka Agenda → buka event ongoing
3. Ambil/pilih foto check-in
4. Klik Kirim check-in
5. Amati status</t>
        </is>
      </c>
      <c r="I66" s="14" t="inlineStr">
        <is>
          <t>Status Menunggu persetujuan pembina; foto terunggah; tidak dapat double-submit pending</t>
        </is>
      </c>
      <c r="J66" s="14" t="inlineStr">
        <is>
          <t>Foto JPG/PNG &lt; ~5MB</t>
        </is>
      </c>
      <c r="K66" s="29" t="inlineStr">
        <is>
          <t>Pass</t>
        </is>
      </c>
      <c r="L66" s="14" t="inlineStr"/>
      <c r="M66" s="14" t="inlineStr">
        <is>
          <t>Cursor Agent</t>
        </is>
      </c>
      <c r="N66" s="14" t="inlineStr">
        <is>
          <t>2026-07-31</t>
        </is>
      </c>
    </row>
    <row r="67" ht="80" customHeight="1">
      <c r="A67" s="13" t="inlineStr">
        <is>
          <t>EVT-04</t>
        </is>
      </c>
      <c r="B67" s="14" t="inlineStr">
        <is>
          <t>AGENDA</t>
        </is>
      </c>
      <c r="C67" s="14" t="inlineStr">
        <is>
          <t>Pembina setujui check-in → poin masuk</t>
        </is>
      </c>
      <c r="D67" s="15" t="inlineStr">
        <is>
          <t>Happy</t>
        </is>
      </c>
      <c r="E67" s="32" t="inlineStr">
        <is>
          <t>P1</t>
        </is>
      </c>
      <c r="F67" s="14" t="inlineStr">
        <is>
          <t>PEMBINA</t>
        </is>
      </c>
      <c r="G67" s="14" t="inlineStr">
        <is>
          <t>Ada check-in PENDING dari anggota kelompoknya (EVT-03)</t>
        </is>
      </c>
      <c r="H67" s="14" t="inlineStr">
        <is>
          <t>1. Login Pembina
2. Agenda → Persetujuan (/events/check-ins)
3. Review foto &amp; detail
4. Klik Setujui
5. Cek poin anggota bertambah sebesar pointValue event</t>
        </is>
      </c>
      <c r="I67" s="14" t="inlineStr">
        <is>
          <t>Status APPROVED; poin anggota naik; PointLog tercatat</t>
        </is>
      </c>
      <c r="J67" s="14" t="inlineStr">
        <is>
          <t>Anggota kelompok pembina</t>
        </is>
      </c>
      <c r="K67" s="29" t="inlineStr">
        <is>
          <t>Pass</t>
        </is>
      </c>
      <c r="L67" s="14" t="inlineStr"/>
      <c r="M67" s="14" t="inlineStr">
        <is>
          <t>Cursor Agent</t>
        </is>
      </c>
      <c r="N67" s="14" t="inlineStr">
        <is>
          <t>2026-07-31</t>
        </is>
      </c>
    </row>
    <row r="68" ht="68" customHeight="1">
      <c r="A68" s="13" t="inlineStr">
        <is>
          <t>EVT-05</t>
        </is>
      </c>
      <c r="B68" s="14" t="inlineStr">
        <is>
          <t>AGENDA</t>
        </is>
      </c>
      <c r="C68" s="14" t="inlineStr">
        <is>
          <t>Pembina tolak check-in → anggota bisa kirim ulang</t>
        </is>
      </c>
      <c r="D68" s="15" t="inlineStr">
        <is>
          <t>Happy</t>
        </is>
      </c>
      <c r="E68" s="32" t="inlineStr">
        <is>
          <t>P1</t>
        </is>
      </c>
      <c r="F68" s="14" t="inlineStr">
        <is>
          <t>PEMBINA → ANGGOTA</t>
        </is>
      </c>
      <c r="G68" s="14" t="inlineStr">
        <is>
          <t>Ada check-in PENDING</t>
        </is>
      </c>
      <c r="H68" s="14" t="inlineStr">
        <is>
          <t>1. Pembina: Tolak check-in
2. Login Anggota
3. Buka event yang sama
4. Kirim check-in lagi dengan foto baru</t>
        </is>
      </c>
      <c r="I68" s="14" t="inlineStr">
        <is>
          <t>Setelah ditolak, form check-in tersedia lagi; submit ulang berhasil (pending baru)</t>
        </is>
      </c>
      <c r="J68" s="14" t="inlineStr">
        <is>
          <t>—</t>
        </is>
      </c>
      <c r="K68" s="30" t="inlineStr">
        <is>
          <t>Skip</t>
        </is>
      </c>
      <c r="L68" s="14" t="inlineStr">
        <is>
          <t>skip: butuh siklus reject terpisah; approve sudah di EVT-04</t>
        </is>
      </c>
      <c r="M68" s="14" t="inlineStr">
        <is>
          <t>Cursor Agent</t>
        </is>
      </c>
      <c r="N68" s="14" t="inlineStr">
        <is>
          <t>2026-07-31</t>
        </is>
      </c>
    </row>
    <row r="69" ht="50" customHeight="1">
      <c r="A69" s="13" t="inlineStr">
        <is>
          <t>EVT-N01</t>
        </is>
      </c>
      <c r="B69" s="14" t="inlineStr">
        <is>
          <t>AGENDA</t>
        </is>
      </c>
      <c r="C69" s="14" t="inlineStr">
        <is>
          <t>Anggota/Pembina ditolak buat event</t>
        </is>
      </c>
      <c r="D69" s="17" t="inlineStr">
        <is>
          <t>Negatif</t>
        </is>
      </c>
      <c r="E69" s="32" t="inlineStr">
        <is>
          <t>P1</t>
        </is>
      </c>
      <c r="F69" s="14" t="inlineStr">
        <is>
          <t>ANGGOTA, PEMBINA</t>
        </is>
      </c>
      <c r="G69" s="14" t="inlineStr">
        <is>
          <t>Login role terkait</t>
        </is>
      </c>
      <c r="H69" s="14" t="inlineStr">
        <is>
          <t>1. Pastikan tombol Tambah tidak ada di Agenda
2. Akses langsung /events/new</t>
        </is>
      </c>
      <c r="I69" s="14" t="inlineStr">
        <is>
          <t>Redirect /dashboard atau akses ditolak</t>
        </is>
      </c>
      <c r="J69" s="14" t="inlineStr">
        <is>
          <t>—</t>
        </is>
      </c>
      <c r="K69" s="29" t="inlineStr">
        <is>
          <t>Pass</t>
        </is>
      </c>
      <c r="L69" s="14" t="inlineStr"/>
      <c r="M69" s="14" t="inlineStr">
        <is>
          <t>Cursor Agent</t>
        </is>
      </c>
      <c r="N69" s="14" t="inlineStr">
        <is>
          <t>2026-07-31</t>
        </is>
      </c>
    </row>
    <row r="70" ht="56" customHeight="1">
      <c r="A70" s="13" t="inlineStr">
        <is>
          <t>EVT-N02</t>
        </is>
      </c>
      <c r="B70" s="14" t="inlineStr">
        <is>
          <t>AGENDA</t>
        </is>
      </c>
      <c r="C70" s="14" t="inlineStr">
        <is>
          <t>Validasi level &amp; judul &amp; waktu event</t>
        </is>
      </c>
      <c r="D70" s="17" t="inlineStr">
        <is>
          <t>Negatif</t>
        </is>
      </c>
      <c r="E70" s="32" t="inlineStr">
        <is>
          <t>P1</t>
        </is>
      </c>
      <c r="F70" s="14" t="inlineStr">
        <is>
          <t>ADMIN</t>
        </is>
      </c>
      <c r="G70" s="14" t="inlineStr">
        <is>
          <t>/events/new</t>
        </is>
      </c>
      <c r="H70" s="14" t="inlineStr">
        <is>
          <t>1. Submit tanpa centang level → harus ditolak ("Pilih minimal satu level")
2. Judul 1 karakter → ditolak
3. End ≤ Start → ditolak</t>
        </is>
      </c>
      <c r="I70" s="14" t="inlineStr">
        <is>
          <t>Validasi FE/API menolak; event tidak dibuat</t>
        </is>
      </c>
      <c r="J70" s="14" t="inlineStr">
        <is>
          <t>Input invalid</t>
        </is>
      </c>
      <c r="K70" s="29" t="inlineStr">
        <is>
          <t>Pass</t>
        </is>
      </c>
      <c r="L70" s="14" t="inlineStr"/>
      <c r="M70" s="14" t="inlineStr">
        <is>
          <t>Cursor Agent</t>
        </is>
      </c>
      <c r="N70" s="14" t="inlineStr">
        <is>
          <t>2026-07-31</t>
        </is>
      </c>
    </row>
    <row r="71" ht="50" customHeight="1">
      <c r="A71" s="13" t="inlineStr">
        <is>
          <t>EVT-N03</t>
        </is>
      </c>
      <c r="B71" s="14" t="inlineStr">
        <is>
          <t>AGENDA</t>
        </is>
      </c>
      <c r="C71" s="14" t="inlineStr">
        <is>
          <t>Check-in tanpa foto / di luar window waktu</t>
        </is>
      </c>
      <c r="D71" s="17" t="inlineStr">
        <is>
          <t>Negatif</t>
        </is>
      </c>
      <c r="E71" s="32" t="inlineStr">
        <is>
          <t>P1</t>
        </is>
      </c>
      <c r="F71" s="14" t="inlineStr">
        <is>
          <t>ANGGOTA</t>
        </is>
      </c>
      <c r="G71" s="14" t="inlineStr">
        <is>
          <t>Event ongoing + event belum mulai / sudah berakhir</t>
        </is>
      </c>
      <c r="H71" s="14" t="inlineStr">
        <is>
          <t>1. Event ongoing: coba kirim tanpa foto
2. Event belum mulai / sudah berakhir: pastikan form check-in tidak muncul</t>
        </is>
      </c>
      <c r="I71" s="14" t="inlineStr">
        <is>
          <t>Tanpa foto → error wajib foto; di luar window → tidak bisa check-in</t>
        </is>
      </c>
      <c r="J71" s="14" t="inlineStr">
        <is>
          <t>—</t>
        </is>
      </c>
      <c r="K71" s="29" t="inlineStr">
        <is>
          <t>Pass</t>
        </is>
      </c>
      <c r="L71" s="14" t="inlineStr"/>
      <c r="M71" s="14" t="inlineStr">
        <is>
          <t>Cursor Agent</t>
        </is>
      </c>
      <c r="N71" s="14" t="inlineStr">
        <is>
          <t>2026-07-31</t>
        </is>
      </c>
    </row>
    <row r="72" ht="50" customHeight="1">
      <c r="A72" s="13" t="inlineStr">
        <is>
          <t>EVT-N04</t>
        </is>
      </c>
      <c r="B72" s="14" t="inlineStr">
        <is>
          <t>AGENDA</t>
        </is>
      </c>
      <c r="C72" s="14" t="inlineStr">
        <is>
          <t>Double check-in APPROVED/PENDING ditolak</t>
        </is>
      </c>
      <c r="D72" s="17" t="inlineStr">
        <is>
          <t>Negatif</t>
        </is>
      </c>
      <c r="E72" s="32" t="inlineStr">
        <is>
          <t>P1</t>
        </is>
      </c>
      <c r="F72" s="14" t="inlineStr">
        <is>
          <t>ANGGOTA</t>
        </is>
      </c>
      <c r="G72" s="14" t="inlineStr">
        <is>
          <t>Sudah punya check-in PENDING atau APPROVED</t>
        </is>
      </c>
      <c r="H72" s="14" t="inlineStr">
        <is>
          <t>1. Coba kirim check-in kedua pada event yang sama</t>
        </is>
      </c>
      <c r="I72" s="14" t="inlineStr">
        <is>
          <t>Error: sudah check-in event ini</t>
        </is>
      </c>
      <c r="J72" s="14" t="inlineStr">
        <is>
          <t>—</t>
        </is>
      </c>
      <c r="K72" s="29" t="inlineStr">
        <is>
          <t>Pass</t>
        </is>
      </c>
      <c r="L72" s="14" t="inlineStr"/>
      <c r="M72" s="14" t="inlineStr">
        <is>
          <t>Cursor Agent</t>
        </is>
      </c>
      <c r="N72" s="14" t="inlineStr">
        <is>
          <t>2026-07-31</t>
        </is>
      </c>
    </row>
    <row r="73" ht="56" customHeight="1">
      <c r="A73" s="13" t="inlineStr">
        <is>
          <t>EVT-N05</t>
        </is>
      </c>
      <c r="B73" s="14" t="inlineStr">
        <is>
          <t>AGENDA</t>
        </is>
      </c>
      <c r="C73" s="14" t="inlineStr">
        <is>
          <t>Visibility event sekolah/level lain</t>
        </is>
      </c>
      <c r="D73" s="17" t="inlineStr">
        <is>
          <t>Negatif</t>
        </is>
      </c>
      <c r="E73" s="32" t="inlineStr">
        <is>
          <t>P1</t>
        </is>
      </c>
      <c r="F73" s="14" t="inlineStr">
        <is>
          <t>ANGGOTA</t>
        </is>
      </c>
      <c r="G73" s="14" t="inlineStr">
        <is>
          <t>Ada event untuk sekolah/level lain</t>
        </is>
      </c>
      <c r="H73" s="14" t="inlineStr">
        <is>
          <t>1. Login anggota SMAN 1 level tertentu
2. Buka list Agenda
3. Pastikan event sekolah/level tidak eligible tidak tampil</t>
        </is>
      </c>
      <c r="I73" s="14" t="inlineStr">
        <is>
          <t>Hanya event published + endAt≥now + school/level match yang terlihat</t>
        </is>
      </c>
      <c r="J73" s="14" t="inlineStr">
        <is>
          <t>—</t>
        </is>
      </c>
      <c r="K73" s="29" t="inlineStr">
        <is>
          <t>Pass</t>
        </is>
      </c>
      <c r="L73" s="14" t="inlineStr"/>
      <c r="M73" s="14" t="inlineStr">
        <is>
          <t>Cursor Agent</t>
        </is>
      </c>
      <c r="N73" s="14" t="inlineStr">
        <is>
          <t>2026-07-31</t>
        </is>
      </c>
    </row>
    <row r="74" ht="80" customHeight="1">
      <c r="A74" s="13" t="inlineStr">
        <is>
          <t>MAT-01</t>
        </is>
      </c>
      <c r="B74" s="14" t="inlineStr">
        <is>
          <t>MATERI</t>
        </is>
      </c>
      <c r="C74" s="14" t="inlineStr">
        <is>
          <t>SA/Admin publikasikan materi (file/link/tulis)</t>
        </is>
      </c>
      <c r="D74" s="15" t="inlineStr">
        <is>
          <t>Happy</t>
        </is>
      </c>
      <c r="E74" s="32" t="inlineStr">
        <is>
          <t>P1</t>
        </is>
      </c>
      <c r="F74" s="14" t="inlineStr">
        <is>
          <t>SUPERADMIN / ADMIN</t>
        </is>
      </c>
      <c r="G74" s="14" t="inlineStr">
        <is>
          <t>Login SA/Admin</t>
        </is>
      </c>
      <c r="H74" s="14" t="inlineStr">
        <is>
          <t>1. Buka Materi (/materi) → Tambah
2. Isi Judul, Ringkasan (opsional), Pekan (Senin), level target
3. Pilih jenis: Upload file / Link / Tulis langsung
4. Lengkapi konten sesuai jenis
5. Klik Publikasikan materi</t>
        </is>
      </c>
      <c r="I74" s="14" t="inlineStr">
        <is>
          <t>Materi muncul di list; detail menampilkan konten sesuai tipe</t>
        </is>
      </c>
      <c r="J74" s="14" t="inlineStr">
        <is>
          <t>FILE: PDF kecil; LINK: URL valid; RICH_TEXT: paragraf singkat</t>
        </is>
      </c>
      <c r="K74" s="29" t="inlineStr">
        <is>
          <t>Pass</t>
        </is>
      </c>
      <c r="L74" s="14" t="inlineStr"/>
      <c r="M74" s="14" t="inlineStr">
        <is>
          <t>Cursor Agent</t>
        </is>
      </c>
      <c r="N74" s="14" t="inlineStr">
        <is>
          <t>2026-07-31</t>
        </is>
      </c>
    </row>
    <row r="75" ht="68" customHeight="1">
      <c r="A75" s="13" t="inlineStr">
        <is>
          <t>MAT-02</t>
        </is>
      </c>
      <c r="B75" s="14" t="inlineStr">
        <is>
          <t>MATERI</t>
        </is>
      </c>
      <c r="C75" s="14" t="inlineStr">
        <is>
          <t>Buka detail materi per tipe konten</t>
        </is>
      </c>
      <c r="D75" s="15" t="inlineStr">
        <is>
          <t>Happy</t>
        </is>
      </c>
      <c r="E75" s="32" t="inlineStr">
        <is>
          <t>P1</t>
        </is>
      </c>
      <c r="F75" s="14" t="inlineStr">
        <is>
          <t>PJ / PEMBINA / ADMIN</t>
        </is>
      </c>
      <c r="G75" s="14" t="inlineStr">
        <is>
          <t>Ada materi FILE, LINK, RICH_TEXT</t>
        </is>
      </c>
      <c r="H75" s="14" t="inlineStr">
        <is>
          <t>1. Buka list Materi
2. Buka detail LINK → tombol Buka materi
3. Detail FILE → unduh/lihat
4. Detail RICH_TEXT → konten ter-render</t>
        </is>
      </c>
      <c r="I75" s="14" t="inlineStr">
        <is>
          <t>Tiap tipe menampilkan aksi/konten yang benar; tidak blank</t>
        </is>
      </c>
      <c r="J75" s="14" t="inlineStr">
        <is>
          <t>Materi dari MAT-01</t>
        </is>
      </c>
      <c r="K75" s="29" t="inlineStr">
        <is>
          <t>Pass</t>
        </is>
      </c>
      <c r="L75" s="14" t="inlineStr"/>
      <c r="M75" s="14" t="inlineStr">
        <is>
          <t>Cursor Agent</t>
        </is>
      </c>
      <c r="N75" s="14" t="inlineStr">
        <is>
          <t>2026-07-31</t>
        </is>
      </c>
    </row>
    <row r="76" ht="68" customHeight="1">
      <c r="A76" s="13" t="inlineStr">
        <is>
          <t>MAT-03</t>
        </is>
      </c>
      <c r="B76" s="14" t="inlineStr">
        <is>
          <t>MATERI</t>
        </is>
      </c>
      <c r="C76" s="14" t="inlineStr">
        <is>
          <t>PJ/Pembina baca list tanpa tombol Tambah</t>
        </is>
      </c>
      <c r="D76" s="18" t="inlineStr">
        <is>
          <t>Smoke</t>
        </is>
      </c>
      <c r="E76" s="32" t="inlineStr">
        <is>
          <t>P1</t>
        </is>
      </c>
      <c r="F76" s="14" t="inlineStr">
        <is>
          <t>PJ_SEKOLAH, PEMBINA</t>
        </is>
      </c>
      <c r="G76" s="14" t="inlineStr">
        <is>
          <t>Login role terkait</t>
        </is>
      </c>
      <c r="H76" s="14" t="inlineStr">
        <is>
          <t>1. Buka /materi
2. Pastikan list load
3. Pastikan tombol Tambah tidak ada
4. Buka satu detail</t>
        </is>
      </c>
      <c r="I76" s="14" t="inlineStr">
        <is>
          <t>Bisa baca; tidak bisa create via UI</t>
        </is>
      </c>
      <c r="J76" s="14" t="inlineStr">
        <is>
          <t>—</t>
        </is>
      </c>
      <c r="K76" s="29" t="inlineStr">
        <is>
          <t>Pass</t>
        </is>
      </c>
      <c r="L76" s="14" t="inlineStr"/>
      <c r="M76" s="14" t="inlineStr">
        <is>
          <t>Cursor Agent</t>
        </is>
      </c>
      <c r="N76" s="14" t="inlineStr">
        <is>
          <t>2026-07-31</t>
        </is>
      </c>
    </row>
    <row r="77" ht="50" customHeight="1">
      <c r="A77" s="13" t="inlineStr">
        <is>
          <t>MAT-N01</t>
        </is>
      </c>
      <c r="B77" s="14" t="inlineStr">
        <is>
          <t>MATERI</t>
        </is>
      </c>
      <c r="C77" s="14" t="inlineStr">
        <is>
          <t>Non-admin ditolak buat materi</t>
        </is>
      </c>
      <c r="D77" s="17" t="inlineStr">
        <is>
          <t>Negatif</t>
        </is>
      </c>
      <c r="E77" s="32" t="inlineStr">
        <is>
          <t>P1</t>
        </is>
      </c>
      <c r="F77" s="14" t="inlineStr">
        <is>
          <t>PJ, PEMBINA, ANGGOTA</t>
        </is>
      </c>
      <c r="G77" s="14" t="inlineStr">
        <is>
          <t>Login role terkait</t>
        </is>
      </c>
      <c r="H77" s="14" t="inlineStr">
        <is>
          <t>1. Akses /materi/new via URL</t>
        </is>
      </c>
      <c r="I77" s="14" t="inlineStr">
        <is>
          <t>Redirect /dashboard</t>
        </is>
      </c>
      <c r="J77" s="14" t="inlineStr">
        <is>
          <t>—</t>
        </is>
      </c>
      <c r="K77" s="29" t="inlineStr">
        <is>
          <t>Pass</t>
        </is>
      </c>
      <c r="L77" s="14" t="inlineStr"/>
      <c r="M77" s="14" t="inlineStr">
        <is>
          <t>Cursor Agent</t>
        </is>
      </c>
      <c r="N77" s="14" t="inlineStr">
        <is>
          <t>2026-07-31</t>
        </is>
      </c>
    </row>
    <row r="78" ht="56" customHeight="1">
      <c r="A78" s="13" t="inlineStr">
        <is>
          <t>MAT-N02</t>
        </is>
      </c>
      <c r="B78" s="14" t="inlineStr">
        <is>
          <t>MATERI</t>
        </is>
      </c>
      <c r="C78" s="14" t="inlineStr">
        <is>
          <t>Validasi level &amp; konten wajib</t>
        </is>
      </c>
      <c r="D78" s="17" t="inlineStr">
        <is>
          <t>Negatif</t>
        </is>
      </c>
      <c r="E78" s="32" t="inlineStr">
        <is>
          <t>P1</t>
        </is>
      </c>
      <c r="F78" s="14" t="inlineStr">
        <is>
          <t>ADMIN</t>
        </is>
      </c>
      <c r="G78" s="14" t="inlineStr">
        <is>
          <t>/materi/new</t>
        </is>
      </c>
      <c r="H78" s="14" t="inlineStr">
        <is>
          <t>1. Submit tanpa level
2. Tipe LINK tanpa URL
3. Tipe FILE tanpa file</t>
        </is>
      </c>
      <c r="I78" s="14" t="inlineStr">
        <is>
          <t>Validasi menolak; materi tidak terbit</t>
        </is>
      </c>
      <c r="J78" s="14" t="inlineStr">
        <is>
          <t>—</t>
        </is>
      </c>
      <c r="K78" s="29" t="inlineStr">
        <is>
          <t>Pass</t>
        </is>
      </c>
      <c r="L78" s="14" t="inlineStr"/>
      <c r="M78" s="14" t="inlineStr">
        <is>
          <t>Cursor Agent</t>
        </is>
      </c>
      <c r="N78" s="14" t="inlineStr">
        <is>
          <t>2026-07-31</t>
        </is>
      </c>
    </row>
    <row r="79" ht="50" customHeight="1">
      <c r="A79" s="13" t="inlineStr">
        <is>
          <t>MAT-N03</t>
        </is>
      </c>
      <c r="B79" s="14" t="inlineStr">
        <is>
          <t>MATERI</t>
        </is>
      </c>
      <c r="C79" s="14" t="inlineStr">
        <is>
          <t>Anggota tidak punya menu Materi</t>
        </is>
      </c>
      <c r="D79" s="17" t="inlineStr">
        <is>
          <t>Negatif</t>
        </is>
      </c>
      <c r="E79" s="32" t="inlineStr">
        <is>
          <t>P1</t>
        </is>
      </c>
      <c r="F79" s="14" t="inlineStr">
        <is>
          <t>ANGGOTA</t>
        </is>
      </c>
      <c r="G79" s="14" t="inlineStr">
        <is>
          <t>Login Anggota</t>
        </is>
      </c>
      <c r="H79" s="14" t="inlineStr">
        <is>
          <t>1. Cek sidebar — Materi tidak ada
2. Opsional: akses /materi via URL (catat perilaku)</t>
        </is>
      </c>
      <c r="I79" s="14" t="inlineStr">
        <is>
          <t>Tidak di nav; jika URL dibuka, sesuai RoleGuard/API (catat hasil)</t>
        </is>
      </c>
      <c r="J79" s="14" t="inlineStr">
        <is>
          <t>—</t>
        </is>
      </c>
      <c r="K79" s="29" t="inlineStr">
        <is>
          <t>Pass</t>
        </is>
      </c>
      <c r="L79" s="14" t="inlineStr"/>
      <c r="M79" s="14" t="inlineStr">
        <is>
          <t>Cursor Agent</t>
        </is>
      </c>
      <c r="N79" s="14" t="inlineStr">
        <is>
          <t>2026-07-31</t>
        </is>
      </c>
    </row>
    <row r="80" ht="68" customHeight="1">
      <c r="A80" s="13" t="inlineStr">
        <is>
          <t>ANL-01</t>
        </is>
      </c>
      <c r="B80" s="14" t="inlineStr">
        <is>
          <t>ANALITIK</t>
        </is>
      </c>
      <c r="C80" s="14" t="inlineStr">
        <is>
          <t>SA/Admin lihat Analitik Depok</t>
        </is>
      </c>
      <c r="D80" s="15" t="inlineStr">
        <is>
          <t>Happy</t>
        </is>
      </c>
      <c r="E80" s="32" t="inlineStr">
        <is>
          <t>P1</t>
        </is>
      </c>
      <c r="F80" s="14" t="inlineStr">
        <is>
          <t>SUPERADMIN / ADMIN</t>
        </is>
      </c>
      <c r="G80" s="14" t="inlineStr">
        <is>
          <t>Login SA/Admin; ada data seed</t>
        </is>
      </c>
      <c r="H80" s="14" t="inlineStr">
        <is>
          <t>1. Buka Analitik (/analytics)
2. Verifikasi kartu: Sekolah, Kelompok, Pembina, Anggota, submit rate
3. Cek panel gender/level breakdown
4. Cek tren kehadiran (jika ada)</t>
        </is>
      </c>
      <c r="I80" s="14" t="inlineStr">
        <is>
          <t>Dashboard analitik terisi; tidak blank/crash</t>
        </is>
      </c>
      <c r="J80" s="14" t="inlineStr">
        <is>
          <t>—</t>
        </is>
      </c>
      <c r="K80" s="29" t="inlineStr">
        <is>
          <t>Pass</t>
        </is>
      </c>
      <c r="L80" s="14" t="inlineStr"/>
      <c r="M80" s="14" t="inlineStr">
        <is>
          <t>Cursor Agent</t>
        </is>
      </c>
      <c r="N80" s="14" t="inlineStr">
        <is>
          <t>2026-07-31</t>
        </is>
      </c>
    </row>
    <row r="81" ht="56" customHeight="1">
      <c r="A81" s="13" t="inlineStr">
        <is>
          <t>ANL-02</t>
        </is>
      </c>
      <c r="B81" s="14" t="inlineStr">
        <is>
          <t>ANALITIK</t>
        </is>
      </c>
      <c r="C81" s="14" t="inlineStr">
        <is>
          <t>PJ lihat Analitik sekolah (scope)</t>
        </is>
      </c>
      <c r="D81" s="15" t="inlineStr">
        <is>
          <t>Happy</t>
        </is>
      </c>
      <c r="E81" s="32" t="inlineStr">
        <is>
          <t>P1</t>
        </is>
      </c>
      <c r="F81" s="14" t="inlineStr">
        <is>
          <t>PJ_SEKOLAH</t>
        </is>
      </c>
      <c r="G81" s="14" t="inlineStr">
        <is>
          <t>Login PJ</t>
        </is>
      </c>
      <c r="H81" s="14" t="inlineStr">
        <is>
          <t>1. Buka Analitik
2. Pastikan judul/konteks sekolah (bukan kota global)
3. Angka sesuai sekolah assign saja</t>
        </is>
      </c>
      <c r="I81" s="14" t="inlineStr">
        <is>
          <t>Data scoped ke sekolah PJ</t>
        </is>
      </c>
      <c r="J81" s="14" t="inlineStr">
        <is>
          <t>SMAN 1</t>
        </is>
      </c>
      <c r="K81" s="29" t="inlineStr">
        <is>
          <t>Pass</t>
        </is>
      </c>
      <c r="L81" s="14" t="inlineStr"/>
      <c r="M81" s="14" t="inlineStr">
        <is>
          <t>Cursor Agent</t>
        </is>
      </c>
      <c r="N81" s="14" t="inlineStr">
        <is>
          <t>2026-07-31</t>
        </is>
      </c>
    </row>
    <row r="82" ht="50" customHeight="1">
      <c r="A82" s="13" t="inlineStr">
        <is>
          <t>ANL-N01</t>
        </is>
      </c>
      <c r="B82" s="14" t="inlineStr">
        <is>
          <t>ANALITIK</t>
        </is>
      </c>
      <c r="C82" s="14" t="inlineStr">
        <is>
          <t>Pembina/Anggota ditolak Analitik</t>
        </is>
      </c>
      <c r="D82" s="17" t="inlineStr">
        <is>
          <t>Negatif</t>
        </is>
      </c>
      <c r="E82" s="32" t="inlineStr">
        <is>
          <t>P1</t>
        </is>
      </c>
      <c r="F82" s="14" t="inlineStr">
        <is>
          <t>PEMBINA, ANGGOTA</t>
        </is>
      </c>
      <c r="G82" s="14" t="inlineStr">
        <is>
          <t>Login role terkait</t>
        </is>
      </c>
      <c r="H82" s="14" t="inlineStr">
        <is>
          <t>1. Pastikan menu Analitik tidak ada
2. Akses /analytics via URL</t>
        </is>
      </c>
      <c r="I82" s="14" t="inlineStr">
        <is>
          <t>Redirect /dashboard</t>
        </is>
      </c>
      <c r="J82" s="14" t="inlineStr">
        <is>
          <t>—</t>
        </is>
      </c>
      <c r="K82" s="29" t="inlineStr">
        <is>
          <t>Pass</t>
        </is>
      </c>
      <c r="L82" s="14" t="inlineStr"/>
      <c r="M82" s="14" t="inlineStr">
        <is>
          <t>Cursor Agent</t>
        </is>
      </c>
      <c r="N82" s="14" t="inlineStr">
        <is>
          <t>2026-07-31</t>
        </is>
      </c>
    </row>
    <row r="83" ht="80" customHeight="1">
      <c r="A83" s="13" t="inlineStr">
        <is>
          <t>MUT-01</t>
        </is>
      </c>
      <c r="B83" s="14" t="inlineStr">
        <is>
          <t>MUTABAAH</t>
        </is>
      </c>
      <c r="C83" s="14" t="inlineStr">
        <is>
          <t>Anggota simpan draft mutabaah pekan</t>
        </is>
      </c>
      <c r="D83" s="15" t="inlineStr">
        <is>
          <t>Happy</t>
        </is>
      </c>
      <c r="E83" s="32" t="inlineStr">
        <is>
          <t>P1</t>
        </is>
      </c>
      <c r="F83" s="14" t="inlineStr">
        <is>
          <t>ANGGOTA</t>
        </is>
      </c>
      <c r="G83" s="14" t="inlineStr">
        <is>
          <t>Login Anggota; master mutabaah sudah ada (seed/config)</t>
        </is>
      </c>
      <c r="H83" s="14" t="inlineStr">
        <is>
          <t>1. Buka Mutabaah (/mutabaah)
2. Pilih Pekan (Senin)
3. Jika multi-kelompok, pilih Kelompok
4. Isi beberapa field
5. Simpan draft</t>
        </is>
      </c>
      <c r="I83" s="14" t="inlineStr">
        <is>
          <t>Draft tersimpan; bisa dibuka lagi di pekan yang sama</t>
        </is>
      </c>
      <c r="J83" s="14" t="inlineStr">
        <is>
          <t>Pekan ≥ tanggal bergabung</t>
        </is>
      </c>
      <c r="K83" s="29" t="inlineStr">
        <is>
          <t>Pass</t>
        </is>
      </c>
      <c r="L83" s="14" t="inlineStr"/>
      <c r="M83" s="14" t="inlineStr">
        <is>
          <t>Cursor Agent</t>
        </is>
      </c>
      <c r="N83" s="14" t="inlineStr">
        <is>
          <t>2026-07-31</t>
        </is>
      </c>
    </row>
    <row r="84" ht="68" customHeight="1">
      <c r="A84" s="13" t="inlineStr">
        <is>
          <t>MUT-02</t>
        </is>
      </c>
      <c r="B84" s="14" t="inlineStr">
        <is>
          <t>MUTABAAH</t>
        </is>
      </c>
      <c r="C84" s="14" t="inlineStr">
        <is>
          <t>Anggota kirim mutabaah → +2 poin</t>
        </is>
      </c>
      <c r="D84" s="15" t="inlineStr">
        <is>
          <t>Happy</t>
        </is>
      </c>
      <c r="E84" s="32" t="inlineStr">
        <is>
          <t>P1</t>
        </is>
      </c>
      <c r="F84" s="14" t="inlineStr">
        <is>
          <t>ANGGOTA</t>
        </is>
      </c>
      <c r="G84" s="14" t="inlineStr">
        <is>
          <t>Draft siap / form terisi</t>
        </is>
      </c>
      <c r="H84" s="14" t="inlineStr">
        <is>
          <t>1. Lengkapi field wajib
2. Klik Kirim mutabaah
3. Amati banner sudah dikirim
4. Cek poin bertambah +2</t>
        </is>
      </c>
      <c r="I84" s="14" t="inlineStr">
        <is>
          <t>Submitted; field disabled; poin +2</t>
        </is>
      </c>
      <c r="J84" s="14" t="inlineStr">
        <is>
          <t>Pekan yang belum di-submit</t>
        </is>
      </c>
      <c r="K84" s="30" t="inlineStr">
        <is>
          <t>Skip</t>
        </is>
      </c>
      <c r="L84" s="14" t="inlineStr">
        <is>
          <t>skip: tombol kirim tidak ada (sudah submit / master kosong)</t>
        </is>
      </c>
      <c r="M84" s="14" t="inlineStr">
        <is>
          <t>Cursor Agent</t>
        </is>
      </c>
      <c r="N84" s="14" t="inlineStr">
        <is>
          <t>2026-07-31</t>
        </is>
      </c>
    </row>
    <row r="85" ht="56" customHeight="1">
      <c r="A85" s="13" t="inlineStr">
        <is>
          <t>MUT-03</t>
        </is>
      </c>
      <c r="B85" s="14" t="inlineStr">
        <is>
          <t>MUTABAAH</t>
        </is>
      </c>
      <c r="C85" s="14" t="inlineStr">
        <is>
          <t>Pembina lihat mutabaah anggota (read-only)</t>
        </is>
      </c>
      <c r="D85" s="15" t="inlineStr">
        <is>
          <t>Happy</t>
        </is>
      </c>
      <c r="E85" s="32" t="inlineStr">
        <is>
          <t>P1</t>
        </is>
      </c>
      <c r="F85" s="14" t="inlineStr">
        <is>
          <t>PEMBINA</t>
        </is>
      </c>
      <c r="G85" s="14" t="inlineStr">
        <is>
          <t>Anggota sudah isi mutabaah</t>
        </is>
      </c>
      <c r="H85" s="14" t="inlineStr">
        <is>
          <t>1. Login Pembina
2. Buka detail kelompok → detail anggota
3. Buka panel/section Mutabaah per pekan</t>
        </is>
      </c>
      <c r="I85" s="14" t="inlineStr">
        <is>
          <t>Data mutabaah tampil read-only; tidak bisa edit sebagai pembina di panel ini</t>
        </is>
      </c>
      <c r="J85" s="14" t="inlineStr">
        <is>
          <t>—</t>
        </is>
      </c>
      <c r="K85" s="29" t="inlineStr">
        <is>
          <t>Pass</t>
        </is>
      </c>
      <c r="L85" s="14" t="inlineStr"/>
      <c r="M85" s="14" t="inlineStr">
        <is>
          <t>Cursor Agent</t>
        </is>
      </c>
      <c r="N85" s="14" t="inlineStr">
        <is>
          <t>2026-07-31</t>
        </is>
      </c>
    </row>
    <row r="86" ht="50" customHeight="1">
      <c r="A86" s="13" t="inlineStr">
        <is>
          <t>MUT-N01</t>
        </is>
      </c>
      <c r="B86" s="14" t="inlineStr">
        <is>
          <t>MUTABAAH</t>
        </is>
      </c>
      <c r="C86" s="14" t="inlineStr">
        <is>
          <t>Non-anggota ditolak /mutabaah</t>
        </is>
      </c>
      <c r="D86" s="17" t="inlineStr">
        <is>
          <t>Negatif</t>
        </is>
      </c>
      <c r="E86" s="32" t="inlineStr">
        <is>
          <t>P1</t>
        </is>
      </c>
      <c r="F86" s="14" t="inlineStr">
        <is>
          <t>PEMBINA, ADMIN, PJ</t>
        </is>
      </c>
      <c r="G86" s="14" t="inlineStr">
        <is>
          <t>Login role terkait</t>
        </is>
      </c>
      <c r="H86" s="14" t="inlineStr">
        <is>
          <t>1. Pastikan Mutabaah tidak di sidebar
2. Akses /mutabaah</t>
        </is>
      </c>
      <c r="I86" s="14" t="inlineStr">
        <is>
          <t>Redirect /dashboard</t>
        </is>
      </c>
      <c r="J86" s="14" t="inlineStr">
        <is>
          <t>—</t>
        </is>
      </c>
      <c r="K86" s="29" t="inlineStr">
        <is>
          <t>Pass</t>
        </is>
      </c>
      <c r="L86" s="14" t="inlineStr"/>
      <c r="M86" s="14" t="inlineStr">
        <is>
          <t>Cursor Agent</t>
        </is>
      </c>
      <c r="N86" s="14" t="inlineStr">
        <is>
          <t>2026-07-31</t>
        </is>
      </c>
    </row>
    <row r="87" ht="50" customHeight="1">
      <c r="A87" s="13" t="inlineStr">
        <is>
          <t>MUT-N02</t>
        </is>
      </c>
      <c r="B87" s="14" t="inlineStr">
        <is>
          <t>MUTABAAH</t>
        </is>
      </c>
      <c r="C87" s="14" t="inlineStr">
        <is>
          <t>Pekan sebelum bergabung / submit ulang</t>
        </is>
      </c>
      <c r="D87" s="17" t="inlineStr">
        <is>
          <t>Negatif</t>
        </is>
      </c>
      <c r="E87" s="32" t="inlineStr">
        <is>
          <t>P1</t>
        </is>
      </c>
      <c r="F87" s="14" t="inlineStr">
        <is>
          <t>ANGGOTA</t>
        </is>
      </c>
      <c r="G87" s="14" t="inlineStr">
        <is>
          <t>Sudah submit satu pekan</t>
        </is>
      </c>
      <c r="H87" s="14" t="inlineStr">
        <is>
          <t>1. Coba pilih pekan sebelum minWeekDate (bergabung) — harus diblok
2. Buka pekan sudah submit — field disabled; submit ulang gagal</t>
        </is>
      </c>
      <c r="I87" s="14" t="inlineStr">
        <is>
          <t>Validasi pekan &amp; submit sekali saja dihormati</t>
        </is>
      </c>
      <c r="J87" s="14" t="inlineStr">
        <is>
          <t>—</t>
        </is>
      </c>
      <c r="K87" s="30" t="inlineStr">
        <is>
          <t>Skip</t>
        </is>
      </c>
      <c r="L87" s="14" t="inlineStr">
        <is>
          <t>skip: tidak ada state submit ulang / pekan diblok yang terobservasi</t>
        </is>
      </c>
      <c r="M87" s="14" t="inlineStr">
        <is>
          <t>Cursor Agent</t>
        </is>
      </c>
      <c r="N87" s="14" t="inlineStr">
        <is>
          <t>2026-07-31</t>
        </is>
      </c>
    </row>
    <row r="88" ht="80" customHeight="1">
      <c r="A88" s="13" t="inlineStr">
        <is>
          <t>IC-01</t>
        </is>
      </c>
      <c r="B88" s="14" t="inlineStr">
        <is>
          <t>IC</t>
        </is>
      </c>
      <c r="C88" s="14" t="inlineStr">
        <is>
          <t>SA/Admin CRUD master Indikator Capaian</t>
        </is>
      </c>
      <c r="D88" s="15" t="inlineStr">
        <is>
          <t>Happy</t>
        </is>
      </c>
      <c r="E88" s="32" t="inlineStr">
        <is>
          <t>P1</t>
        </is>
      </c>
      <c r="F88" s="14" t="inlineStr">
        <is>
          <t>SUPERADMIN / ADMIN</t>
        </is>
      </c>
      <c r="G88" s="14" t="inlineStr">
        <is>
          <t>Login SA → Pengaturan → IC atau /config/ic</t>
        </is>
      </c>
      <c r="H88" s="14" t="inlineStr">
        <is>
          <t>1. Filter level/kategori jika ada
2. Tambah IC: Kategori, Tipe (Primer/Sekunder), Nomor, Indikator, Materi
3. Simpan
4. Edit satu item
5. Hapus item uji (bukan data kritis seed jika perlu)</t>
        </is>
      </c>
      <c r="I88" s="14" t="inlineStr">
        <is>
          <t>CRUD master sukses; list ter-update</t>
        </is>
      </c>
      <c r="J88" s="14" t="inlineStr">
        <is>
          <t>Nomor/judul unik uji</t>
        </is>
      </c>
      <c r="K88" s="29" t="inlineStr">
        <is>
          <t>Pass</t>
        </is>
      </c>
      <c r="L88" s="14" t="inlineStr"/>
      <c r="M88" s="14" t="inlineStr">
        <is>
          <t>Cursor Agent</t>
        </is>
      </c>
      <c r="N88" s="14" t="inlineStr">
        <is>
          <t>2026-07-31</t>
        </is>
      </c>
    </row>
    <row r="89" ht="56" customHeight="1">
      <c r="A89" s="13" t="inlineStr">
        <is>
          <t>IC-02</t>
        </is>
      </c>
      <c r="B89" s="14" t="inlineStr">
        <is>
          <t>IC</t>
        </is>
      </c>
      <c r="C89" s="14" t="inlineStr">
        <is>
          <t>PJ/Pembina baca master IC (view only)</t>
        </is>
      </c>
      <c r="D89" s="18" t="inlineStr">
        <is>
          <t>Smoke</t>
        </is>
      </c>
      <c r="E89" s="32" t="inlineStr">
        <is>
          <t>P1</t>
        </is>
      </c>
      <c r="F89" s="14" t="inlineStr">
        <is>
          <t>PJ_SEKOLAH, PEMBINA</t>
        </is>
      </c>
      <c r="G89" s="14" t="inlineStr">
        <is>
          <t>Login → menu Indikator Capaian</t>
        </is>
      </c>
      <c r="H89" s="14" t="inlineStr">
        <is>
          <t>1. Buka /config/ic
2. Pastikan list IC tampil
3. Pastikan form Tambah/Edit tidak tersedia (atau disabled)</t>
        </is>
      </c>
      <c r="I89" s="14" t="inlineStr">
        <is>
          <t>View only; tidak bisa mengubah master</t>
        </is>
      </c>
      <c r="J89" s="14" t="inlineStr">
        <is>
          <t>—</t>
        </is>
      </c>
      <c r="K89" s="29" t="inlineStr">
        <is>
          <t>Pass</t>
        </is>
      </c>
      <c r="L89" s="14" t="inlineStr"/>
      <c r="M89" s="14" t="inlineStr">
        <is>
          <t>Cursor Agent</t>
        </is>
      </c>
      <c r="N89" s="14" t="inlineStr">
        <is>
          <t>2026-07-31</t>
        </is>
      </c>
    </row>
    <row r="90" ht="68" customHeight="1">
      <c r="A90" s="13" t="inlineStr">
        <is>
          <t>IC-03</t>
        </is>
      </c>
      <c r="B90" s="14" t="inlineStr">
        <is>
          <t>IC</t>
        </is>
      </c>
      <c r="C90" s="14" t="inlineStr">
        <is>
          <t>Pembina centang progress IC anggota</t>
        </is>
      </c>
      <c r="D90" s="15" t="inlineStr">
        <is>
          <t>Happy</t>
        </is>
      </c>
      <c r="E90" s="32" t="inlineStr">
        <is>
          <t>P1</t>
        </is>
      </c>
      <c r="F90" s="14" t="inlineStr">
        <is>
          <t>PEMBINA</t>
        </is>
      </c>
      <c r="G90" s="14" t="inlineStr">
        <is>
          <t>Login pembina; buka detail anggota kelompoknya</t>
        </is>
      </c>
      <c r="H90" s="14" t="inlineStr">
        <is>
          <t>1. Expand kategori IC
2. Toggle indikator tercapai
3. Amati toast Progress IC diperbarui
4. Cek ringkasan X/Y %</t>
        </is>
      </c>
      <c r="I90" s="14" t="inlineStr">
        <is>
          <t>Progress tersimpan; persentase update</t>
        </is>
      </c>
      <c r="J90" s="14" t="inlineStr">
        <is>
          <t>Anggota dengan level yang punya IC</t>
        </is>
      </c>
      <c r="K90" s="29" t="inlineStr">
        <is>
          <t>Pass</t>
        </is>
      </c>
      <c r="L90" s="14" t="inlineStr"/>
      <c r="M90" s="14" t="inlineStr">
        <is>
          <t>Cursor Agent</t>
        </is>
      </c>
      <c r="N90" s="14" t="inlineStr">
        <is>
          <t>2026-07-31</t>
        </is>
      </c>
    </row>
    <row r="91" ht="56" customHeight="1">
      <c r="A91" s="13" t="inlineStr">
        <is>
          <t>IC-N01</t>
        </is>
      </c>
      <c r="B91" s="14" t="inlineStr">
        <is>
          <t>IC</t>
        </is>
      </c>
      <c r="C91" s="14" t="inlineStr">
        <is>
          <t>PJ/non-pembina tidak boleh edit progress/master</t>
        </is>
      </c>
      <c r="D91" s="17" t="inlineStr">
        <is>
          <t>Negatif</t>
        </is>
      </c>
      <c r="E91" s="32" t="inlineStr">
        <is>
          <t>P1</t>
        </is>
      </c>
      <c r="F91" s="14" t="inlineStr">
        <is>
          <t>PJ_SEKOLAH, ANGGOTA</t>
        </is>
      </c>
      <c r="G91" s="14" t="inlineStr">
        <is>
          <t>Login role terkait</t>
        </is>
      </c>
      <c r="H91" s="14" t="inlineStr">
        <is>
          <t>1. PJ: pastikan tidak bisa Tambah IC di master
2. Anggota: pastikan tidak melihat panel progress IC di UI-nya
3. (Opsional API) POST progress sebagai non-pembina → 403</t>
        </is>
      </c>
      <c r="I91" s="14" t="inlineStr">
        <is>
          <t>403 / UI tidak menyediakan aksi</t>
        </is>
      </c>
      <c r="J91" s="14" t="inlineStr">
        <is>
          <t>—</t>
        </is>
      </c>
      <c r="K91" s="29" t="inlineStr">
        <is>
          <t>Pass</t>
        </is>
      </c>
      <c r="L91" s="14" t="inlineStr"/>
      <c r="M91" s="14" t="inlineStr">
        <is>
          <t>Cursor Agent</t>
        </is>
      </c>
      <c r="N91" s="14" t="inlineStr">
        <is>
          <t>2026-07-31</t>
        </is>
      </c>
    </row>
    <row r="92" ht="50" customHeight="1">
      <c r="A92" s="13" t="inlineStr">
        <is>
          <t>IC-N02</t>
        </is>
      </c>
      <c r="B92" s="14" t="inlineStr">
        <is>
          <t>IC</t>
        </is>
      </c>
      <c r="C92" s="14" t="inlineStr">
        <is>
          <t>Validasi nomor/indikator wajib saat tambah IC</t>
        </is>
      </c>
      <c r="D92" s="17" t="inlineStr">
        <is>
          <t>Negatif</t>
        </is>
      </c>
      <c r="E92" s="32" t="inlineStr">
        <is>
          <t>P1</t>
        </is>
      </c>
      <c r="F92" s="14" t="inlineStr">
        <is>
          <t>SUPERADMIN</t>
        </is>
      </c>
      <c r="G92" s="14" t="inlineStr">
        <is>
          <t>/config/ic form tambah</t>
        </is>
      </c>
      <c r="H92" s="14" t="inlineStr">
        <is>
          <t>1. Submit tanpa nomor atau tanpa indikator</t>
        </is>
      </c>
      <c r="I92" s="14" t="inlineStr">
        <is>
          <t>Pesan validasi; item tidak dibuat</t>
        </is>
      </c>
      <c r="J92" s="14" t="inlineStr">
        <is>
          <t>—</t>
        </is>
      </c>
      <c r="K92" s="30" t="inlineStr">
        <is>
          <t>Skip</t>
        </is>
      </c>
      <c r="L92" s="14" t="inlineStr">
        <is>
          <t>skip: validasi form tambah IC kosong bergantung dialog UI penuh</t>
        </is>
      </c>
      <c r="M92" s="14" t="inlineStr">
        <is>
          <t>Cursor Agent</t>
        </is>
      </c>
      <c r="N92" s="14" t="inlineStr">
        <is>
          <t>2026-07-31</t>
        </is>
      </c>
    </row>
    <row r="93" ht="80" customHeight="1">
      <c r="A93" s="13" t="inlineStr">
        <is>
          <t>KKS-01</t>
        </is>
      </c>
      <c r="B93" s="14" t="inlineStr">
        <is>
          <t>KKS</t>
        </is>
      </c>
      <c r="C93" s="14" t="inlineStr">
        <is>
          <t>User kirim Keluhan/Kritik/Saran</t>
        </is>
      </c>
      <c r="D93" s="15" t="inlineStr">
        <is>
          <t>Happy</t>
        </is>
      </c>
      <c r="E93" s="32" t="inlineStr">
        <is>
          <t>P1</t>
        </is>
      </c>
      <c r="F93" s="14" t="inlineStr">
        <is>
          <t>ANGGOTA / PEMBINA / PJ</t>
        </is>
      </c>
      <c r="G93" s="14" t="inlineStr">
        <is>
          <t>Login salah satu role non-admin</t>
        </is>
      </c>
      <c r="H93" s="14" t="inlineStr">
        <is>
          <t>1. Buka KKS (/kks)
2. Pilih Jenis (Keluhan/Kritik/Saran)
3. Isi Subjek (≥3 karakter) &amp; Pesan (≥10 karakter)
4. Kirim
5. Pastikan muncul di riwayat sendiri</t>
        </is>
      </c>
      <c r="I93" s="14" t="inlineStr">
        <is>
          <t>KKS terkirim status Menunggu; muncul di list pengirim</t>
        </is>
      </c>
      <c r="J93" s="14" t="inlineStr">
        <is>
          <t>Subjek &amp; pesan valid</t>
        </is>
      </c>
      <c r="K93" s="29" t="inlineStr">
        <is>
          <t>Pass</t>
        </is>
      </c>
      <c r="L93" s="14" t="inlineStr"/>
      <c r="M93" s="14" t="inlineStr">
        <is>
          <t>Cursor Agent</t>
        </is>
      </c>
      <c r="N93" s="14" t="inlineStr">
        <is>
          <t>2026-07-31</t>
        </is>
      </c>
    </row>
    <row r="94" ht="92" customHeight="1">
      <c r="A94" s="13" t="inlineStr">
        <is>
          <t>KKS-02</t>
        </is>
      </c>
      <c r="B94" s="14" t="inlineStr">
        <is>
          <t>KKS</t>
        </is>
      </c>
      <c r="C94" s="14" t="inlineStr">
        <is>
          <t>SA/Admin kelola status &amp; catatan</t>
        </is>
      </c>
      <c r="D94" s="15" t="inlineStr">
        <is>
          <t>Happy</t>
        </is>
      </c>
      <c r="E94" s="32" t="inlineStr">
        <is>
          <t>P1</t>
        </is>
      </c>
      <c r="F94" s="14" t="inlineStr">
        <is>
          <t>SUPERADMIN / ADMIN</t>
        </is>
      </c>
      <c r="G94" s="14" t="inlineStr">
        <is>
          <t>Ada KKS PENDING dari KKS-01</t>
        </is>
      </c>
      <c r="H94" s="14" t="inlineStr">
        <is>
          <t>1. Buka KKS (kotak masuk)
2. Filter Menunggu
3. Buka detail
4. Isi Catatan Admin
5. Tandai Dibaca → Tandai Selesai
6. Opsional: Kembalikan ke Menunggu</t>
        </is>
      </c>
      <c r="I94" s="14" t="inlineStr">
        <is>
          <t>Status berubah; catatan tersimpan; pengirim bisa lihat tanggapan</t>
        </is>
      </c>
      <c r="J94" s="14" t="inlineStr">
        <is>
          <t>—</t>
        </is>
      </c>
      <c r="K94" s="29" t="inlineStr">
        <is>
          <t>Pass</t>
        </is>
      </c>
      <c r="L94" s="14" t="inlineStr"/>
      <c r="M94" s="14" t="inlineStr">
        <is>
          <t>Cursor Agent</t>
        </is>
      </c>
      <c r="N94" s="14" t="inlineStr">
        <is>
          <t>2026-07-31</t>
        </is>
      </c>
    </row>
    <row r="95" ht="56" customHeight="1">
      <c r="A95" s="13" t="inlineStr">
        <is>
          <t>KKS-03</t>
        </is>
      </c>
      <c r="B95" s="14" t="inlineStr">
        <is>
          <t>KKS</t>
        </is>
      </c>
      <c r="C95" s="14" t="inlineStr">
        <is>
          <t>Pengirim melihat tanggapan admin</t>
        </is>
      </c>
      <c r="D95" s="15" t="inlineStr">
        <is>
          <t>Happy</t>
        </is>
      </c>
      <c r="E95" s="32" t="inlineStr">
        <is>
          <t>P1</t>
        </is>
      </c>
      <c r="F95" s="14" t="inlineStr">
        <is>
          <t>Pengirim KKS-01</t>
        </is>
      </c>
      <c r="G95" s="14" t="inlineStr">
        <is>
          <t>Admin sudah isi catatan / ubah status</t>
        </is>
      </c>
      <c r="H95" s="14" t="inlineStr">
        <is>
          <t>1. Login sebagai pengirim
2. Buka detail KKS-nya
3. Verifikasi Tanggapan Admin &amp; status</t>
        </is>
      </c>
      <c r="I95" s="14" t="inlineStr">
        <is>
          <t>Tanggapan &amp; status terlihat</t>
        </is>
      </c>
      <c r="J95" s="14" t="inlineStr">
        <is>
          <t>—</t>
        </is>
      </c>
      <c r="K95" s="29" t="inlineStr">
        <is>
          <t>Pass</t>
        </is>
      </c>
      <c r="L95" s="14" t="inlineStr"/>
      <c r="M95" s="14" t="inlineStr">
        <is>
          <t>Cursor Agent</t>
        </is>
      </c>
      <c r="N95" s="14" t="inlineStr">
        <is>
          <t>2026-07-31</t>
        </is>
      </c>
    </row>
    <row r="96" ht="50" customHeight="1">
      <c r="A96" s="13" t="inlineStr">
        <is>
          <t>KKS-N01</t>
        </is>
      </c>
      <c r="B96" s="14" t="inlineStr">
        <is>
          <t>KKS</t>
        </is>
      </c>
      <c r="C96" s="14" t="inlineStr">
        <is>
          <t>Validasi subjek/pesan terlalu pendek</t>
        </is>
      </c>
      <c r="D96" s="17" t="inlineStr">
        <is>
          <t>Negatif</t>
        </is>
      </c>
      <c r="E96" s="32" t="inlineStr">
        <is>
          <t>P1</t>
        </is>
      </c>
      <c r="F96" s="14" t="inlineStr">
        <is>
          <t>ANGGOTA</t>
        </is>
      </c>
      <c r="G96" s="14" t="inlineStr">
        <is>
          <t>/kks form</t>
        </is>
      </c>
      <c r="H96" s="14" t="inlineStr">
        <is>
          <t>1. Subjek 2 karakter / pesan 5 karakter → submit</t>
        </is>
      </c>
      <c r="I96" s="14" t="inlineStr">
        <is>
          <t>Validasi Zod/FE menolak</t>
        </is>
      </c>
      <c r="J96" s="14" t="inlineStr">
        <is>
          <t>—</t>
        </is>
      </c>
      <c r="K96" s="29" t="inlineStr">
        <is>
          <t>Pass</t>
        </is>
      </c>
      <c r="L96" s="14" t="inlineStr"/>
      <c r="M96" s="14" t="inlineStr">
        <is>
          <t>Cursor Agent</t>
        </is>
      </c>
      <c r="N96" s="14" t="inlineStr">
        <is>
          <t>2026-07-31</t>
        </is>
      </c>
    </row>
    <row r="97" ht="50" customHeight="1">
      <c r="A97" s="13" t="inlineStr">
        <is>
          <t>KKS-N02</t>
        </is>
      </c>
      <c r="B97" s="14" t="inlineStr">
        <is>
          <t>KKS</t>
        </is>
      </c>
      <c r="C97" s="14" t="inlineStr">
        <is>
          <t>Non-admin tidak akses KKS orang lain / ubah status</t>
        </is>
      </c>
      <c r="D97" s="17" t="inlineStr">
        <is>
          <t>Negatif</t>
        </is>
      </c>
      <c r="E97" s="32" t="inlineStr">
        <is>
          <t>P1</t>
        </is>
      </c>
      <c r="F97" s="14" t="inlineStr">
        <is>
          <t>ANGGOTA</t>
        </is>
      </c>
      <c r="G97" s="14" t="inlineStr">
        <is>
          <t>Ketahu ID KKS milik user lain</t>
        </is>
      </c>
      <c r="H97" s="14" t="inlineStr">
        <is>
          <t>1. Coba buka /kks/:id milik orang lain
2. (API) PUT status → 403</t>
        </is>
      </c>
      <c r="I97" s="14" t="inlineStr">
        <is>
          <t>403 / tidak ditemukan</t>
        </is>
      </c>
      <c r="J97" s="14" t="inlineStr">
        <is>
          <t>—</t>
        </is>
      </c>
      <c r="K97" s="29" t="inlineStr">
        <is>
          <t>Pass</t>
        </is>
      </c>
      <c r="L97" s="14" t="inlineStr"/>
      <c r="M97" s="14" t="inlineStr">
        <is>
          <t>Cursor Agent</t>
        </is>
      </c>
      <c r="N97" s="14" t="inlineStr">
        <is>
          <t>2026-07-31</t>
        </is>
      </c>
    </row>
    <row r="98" ht="68" customHeight="1">
      <c r="A98" s="13" t="inlineStr">
        <is>
          <t>CFG-01</t>
        </is>
      </c>
      <c r="B98" s="14" t="inlineStr">
        <is>
          <t>CONFIG</t>
        </is>
      </c>
      <c r="C98" s="14" t="inlineStr">
        <is>
          <t>SA/Admin buka hub Pengaturan &amp; simpan label level</t>
        </is>
      </c>
      <c r="D98" s="15" t="inlineStr">
        <is>
          <t>Happy</t>
        </is>
      </c>
      <c r="E98" s="32" t="inlineStr">
        <is>
          <t>P1</t>
        </is>
      </c>
      <c r="F98" s="14" t="inlineStr">
        <is>
          <t>SUPERADMIN / ADMIN</t>
        </is>
      </c>
      <c r="G98" s="14" t="inlineStr">
        <is>
          <t>Login SA/Admin → Pengaturan</t>
        </is>
      </c>
      <c r="H98" s="14" t="inlineStr">
        <is>
          <t>1. Buka /config
2. Edit Label Level Kelompok jika ada
3. Simpan
4. Refresh — perubahan persist</t>
        </is>
      </c>
      <c r="I98" s="14" t="inlineStr">
        <is>
          <t>Pengaturan load; simpan sukses</t>
        </is>
      </c>
      <c r="J98" s="14" t="inlineStr">
        <is>
          <t>—</t>
        </is>
      </c>
      <c r="K98" s="29" t="inlineStr">
        <is>
          <t>Pass</t>
        </is>
      </c>
      <c r="L98" s="14" t="inlineStr"/>
      <c r="M98" s="14" t="inlineStr">
        <is>
          <t>Cursor Agent</t>
        </is>
      </c>
      <c r="N98" s="14" t="inlineStr">
        <is>
          <t>2026-07-31</t>
        </is>
      </c>
    </row>
    <row r="99" ht="80" customHeight="1">
      <c r="A99" s="13" t="inlineStr">
        <is>
          <t>CFG-02</t>
        </is>
      </c>
      <c r="B99" s="14" t="inlineStr">
        <is>
          <t>CONFIG</t>
        </is>
      </c>
      <c r="C99" s="14" t="inlineStr">
        <is>
          <t>Kelola master mutabaah</t>
        </is>
      </c>
      <c r="D99" s="15" t="inlineStr">
        <is>
          <t>Happy</t>
        </is>
      </c>
      <c r="E99" s="32" t="inlineStr">
        <is>
          <t>P1</t>
        </is>
      </c>
      <c r="F99" s="14" t="inlineStr">
        <is>
          <t>SUPERADMIN / ADMIN</t>
        </is>
      </c>
      <c r="G99" s="14" t="inlineStr">
        <is>
          <t>/config/mutabaah</t>
        </is>
      </c>
      <c r="H99" s="14" t="inlineStr">
        <is>
          <t>1. Pilih level
2. Tambah poin: Judul, Tipe input, Cakupan waktu, Wajib
3. Jika SELECT: isi minimal satu opsi
4. Simpan
5. Edit / hapus item uji</t>
        </is>
      </c>
      <c r="I99" s="14" t="inlineStr">
        <is>
          <t>Master mutabaah ter-update; anggota melihat field baru di pekan berikutnya</t>
        </is>
      </c>
      <c r="J99" s="14" t="inlineStr">
        <is>
          <t>Item uji non-kritis</t>
        </is>
      </c>
      <c r="K99" s="29" t="inlineStr">
        <is>
          <t>Pass</t>
        </is>
      </c>
      <c r="L99" s="14" t="inlineStr"/>
      <c r="M99" s="14" t="inlineStr">
        <is>
          <t>Cursor Agent</t>
        </is>
      </c>
      <c r="N99" s="14" t="inlineStr">
        <is>
          <t>2026-07-31</t>
        </is>
      </c>
    </row>
    <row r="100" ht="56" customHeight="1">
      <c r="A100" s="13" t="inlineStr">
        <is>
          <t>CFG-03</t>
        </is>
      </c>
      <c r="B100" s="14" t="inlineStr">
        <is>
          <t>CONFIG</t>
        </is>
      </c>
      <c r="C100" s="14" t="inlineStr">
        <is>
          <t>Link kelola IC dari Pengaturan</t>
        </is>
      </c>
      <c r="D100" s="18" t="inlineStr">
        <is>
          <t>Smoke</t>
        </is>
      </c>
      <c r="E100" s="32" t="inlineStr">
        <is>
          <t>P1</t>
        </is>
      </c>
      <c r="F100" s="14" t="inlineStr">
        <is>
          <t>SUPERADMIN</t>
        </is>
      </c>
      <c r="G100" s="14" t="inlineStr">
        <is>
          <t>/config</t>
        </is>
      </c>
      <c r="H100" s="14" t="inlineStr">
        <is>
          <t>1. Klik kelola indikator capaian
2. Landasan /config/ic
3. Konten tampil</t>
        </is>
      </c>
      <c r="I100" s="14" t="inlineStr">
        <is>
          <t>Navigasi config → IC lancar</t>
        </is>
      </c>
      <c r="J100" s="14" t="inlineStr">
        <is>
          <t>—</t>
        </is>
      </c>
      <c r="K100" s="29" t="inlineStr">
        <is>
          <t>Pass</t>
        </is>
      </c>
      <c r="L100" s="14" t="inlineStr"/>
      <c r="M100" s="14" t="inlineStr">
        <is>
          <t>Cursor Agent</t>
        </is>
      </c>
      <c r="N100" s="14" t="inlineStr">
        <is>
          <t>2026-07-31</t>
        </is>
      </c>
    </row>
    <row r="101" ht="50" customHeight="1">
      <c r="A101" s="13" t="inlineStr">
        <is>
          <t>CFG-N01</t>
        </is>
      </c>
      <c r="B101" s="14" t="inlineStr">
        <is>
          <t>CONFIG</t>
        </is>
      </c>
      <c r="C101" s="14" t="inlineStr">
        <is>
          <t>PJ/Pembina/Anggota ditolak /config &amp; mutabaah master</t>
        </is>
      </c>
      <c r="D101" s="17" t="inlineStr">
        <is>
          <t>Negatif</t>
        </is>
      </c>
      <c r="E101" s="32" t="inlineStr">
        <is>
          <t>P1</t>
        </is>
      </c>
      <c r="F101" s="14" t="inlineStr">
        <is>
          <t>PJ, PEMBINA, ANGGOTA</t>
        </is>
      </c>
      <c r="G101" s="14" t="inlineStr">
        <is>
          <t>Login role terkait</t>
        </is>
      </c>
      <c r="H101" s="14" t="inlineStr">
        <is>
          <t>1. Akses /config dan /config/mutabaah via URL
2. PJ/Pembina boleh /config/ic (view) — bedakan</t>
        </is>
      </c>
      <c r="I101" s="14" t="inlineStr">
        <is>
          <t>/config &amp; mutabaah → redirect; /config/ic view OK untuk PJ/Pembina</t>
        </is>
      </c>
      <c r="J101" s="14" t="inlineStr">
        <is>
          <t>—</t>
        </is>
      </c>
      <c r="K101" s="29" t="inlineStr">
        <is>
          <t>Pass</t>
        </is>
      </c>
      <c r="L101" s="14" t="inlineStr"/>
      <c r="M101" s="14" t="inlineStr">
        <is>
          <t>Cursor Agent</t>
        </is>
      </c>
      <c r="N101" s="14" t="inlineStr">
        <is>
          <t>2026-07-31</t>
        </is>
      </c>
    </row>
    <row r="102" ht="50" customHeight="1">
      <c r="A102" s="13" t="inlineStr">
        <is>
          <t>CFG-N02</t>
        </is>
      </c>
      <c r="B102" s="14" t="inlineStr">
        <is>
          <t>CONFIG</t>
        </is>
      </c>
      <c r="C102" s="14" t="inlineStr">
        <is>
          <t>SELECT mutabaah tanpa opsi ditolak</t>
        </is>
      </c>
      <c r="D102" s="17" t="inlineStr">
        <is>
          <t>Negatif</t>
        </is>
      </c>
      <c r="E102" s="32" t="inlineStr">
        <is>
          <t>P1</t>
        </is>
      </c>
      <c r="F102" s="14" t="inlineStr">
        <is>
          <t>ADMIN</t>
        </is>
      </c>
      <c r="G102" s="14" t="inlineStr">
        <is>
          <t>Form tambah field SELECT</t>
        </is>
      </c>
      <c r="H102" s="14" t="inlineStr">
        <is>
          <t>1. Tipe SELECT tanpa pilihan
2. Submit</t>
        </is>
      </c>
      <c r="I102" s="14" t="inlineStr">
        <is>
          <t>Error minimal satu pilihan wajib</t>
        </is>
      </c>
      <c r="J102" s="14" t="inlineStr">
        <is>
          <t>—</t>
        </is>
      </c>
      <c r="K102" s="30" t="inlineStr">
        <is>
          <t>Skip</t>
        </is>
      </c>
      <c r="L102" s="14" t="inlineStr">
        <is>
          <t>skip: validasi SELECT tanpa opsi bergantung form tambah interaktif penuh</t>
        </is>
      </c>
      <c r="M102" s="14" t="inlineStr">
        <is>
          <t>Cursor Agent</t>
        </is>
      </c>
      <c r="N102" s="14" t="inlineStr">
        <is>
          <t>2026-07-31</t>
        </is>
      </c>
    </row>
    <row r="103" ht="56" customHeight="1">
      <c r="A103" s="13" t="inlineStr">
        <is>
          <t>NTF-01</t>
        </is>
      </c>
      <c r="B103" s="14" t="inlineStr">
        <is>
          <t>NOTIFIKASI</t>
        </is>
      </c>
      <c r="C103" s="14" t="inlineStr">
        <is>
          <t>List notifikasi unread/read</t>
        </is>
      </c>
      <c r="D103" s="15" t="inlineStr">
        <is>
          <t>Happy</t>
        </is>
      </c>
      <c r="E103" s="32" t="inlineStr">
        <is>
          <t>P1</t>
        </is>
      </c>
      <c r="F103" s="14" t="inlineStr">
        <is>
          <t>Semua</t>
        </is>
      </c>
      <c r="G103" s="14" t="inlineStr">
        <is>
          <t>Ada notifikasi (mis. dari KKS/undangan) atau seed</t>
        </is>
      </c>
      <c r="H103" s="14" t="inlineStr">
        <is>
          <t>1. Buka /notifications
2. Verifikasi title, body, tanggal
3. Bedakan unread vs read secara visual</t>
        </is>
      </c>
      <c r="I103" s="14" t="inlineStr">
        <is>
          <t>List load; empty state jelas jika kosong</t>
        </is>
      </c>
      <c r="J103" s="14" t="inlineStr">
        <is>
          <t>—</t>
        </is>
      </c>
      <c r="K103" s="29" t="inlineStr">
        <is>
          <t>Pass</t>
        </is>
      </c>
      <c r="L103" s="14" t="inlineStr"/>
      <c r="M103" s="14" t="inlineStr">
        <is>
          <t>Cursor Agent</t>
        </is>
      </c>
      <c r="N103" s="14" t="inlineStr">
        <is>
          <t>2026-07-31</t>
        </is>
      </c>
    </row>
    <row r="104" ht="50" customHeight="1">
      <c r="A104" s="13" t="inlineStr">
        <is>
          <t>NTF-02</t>
        </is>
      </c>
      <c r="B104" s="14" t="inlineStr">
        <is>
          <t>NOTIFIKASI</t>
        </is>
      </c>
      <c r="C104" s="14" t="inlineStr">
        <is>
          <t>Tandai semua dibaca</t>
        </is>
      </c>
      <c r="D104" s="15" t="inlineStr">
        <is>
          <t>Happy</t>
        </is>
      </c>
      <c r="E104" s="32" t="inlineStr">
        <is>
          <t>P1</t>
        </is>
      </c>
      <c r="F104" s="14" t="inlineStr">
        <is>
          <t>SUPERADMIN / role dengan unread</t>
        </is>
      </c>
      <c r="G104" s="14" t="inlineStr">
        <is>
          <t>unreadCount &gt; 0</t>
        </is>
      </c>
      <c r="H104" s="14" t="inlineStr">
        <is>
          <t>1. Klik Tandai dibaca (semua)
2. Refresh — unread hilang/berkurang</t>
        </is>
      </c>
      <c r="I104" s="14" t="inlineStr">
        <is>
          <t>Semua notifikasi marked read</t>
        </is>
      </c>
      <c r="J104" s="14" t="inlineStr">
        <is>
          <t>—</t>
        </is>
      </c>
      <c r="K104" s="30" t="inlineStr">
        <is>
          <t>Skip</t>
        </is>
      </c>
      <c r="L104" s="14" t="inlineStr">
        <is>
          <t>skip: tidak ada unread / tombol tandai dibaca</t>
        </is>
      </c>
      <c r="M104" s="14" t="inlineStr">
        <is>
          <t>Cursor Agent</t>
        </is>
      </c>
      <c r="N104" s="14" t="inlineStr">
        <is>
          <t>2026-07-31</t>
        </is>
      </c>
    </row>
    <row r="105" ht="50" customHeight="1">
      <c r="A105" s="13" t="inlineStr">
        <is>
          <t>NTF-N01</t>
        </is>
      </c>
      <c r="B105" s="14" t="inlineStr">
        <is>
          <t>NOTIFIKASI</t>
        </is>
      </c>
      <c r="C105" s="14" t="inlineStr">
        <is>
          <t>Empty state tidak ada notifikasi</t>
        </is>
      </c>
      <c r="D105" s="18" t="inlineStr">
        <is>
          <t>Smoke</t>
        </is>
      </c>
      <c r="E105" s="32" t="inlineStr">
        <is>
          <t>P1</t>
        </is>
      </c>
      <c r="F105" s="14" t="inlineStr">
        <is>
          <t>User tanpa notifikasi</t>
        </is>
      </c>
      <c r="G105" s="14" t="inlineStr">
        <is>
          <t>Akun baru / sudah dibaca semua</t>
        </is>
      </c>
      <c r="H105" s="14" t="inlineStr">
        <is>
          <t>1. Buka /notifications</t>
        </is>
      </c>
      <c r="I105" s="14" t="inlineStr">
        <is>
          <t>Pesan Tidak ada notifikasi (atau setara); tidak crash</t>
        </is>
      </c>
      <c r="J105" s="14" t="inlineStr">
        <is>
          <t>—</t>
        </is>
      </c>
      <c r="K105" s="29" t="inlineStr">
        <is>
          <t>Pass</t>
        </is>
      </c>
      <c r="L105" s="14" t="inlineStr"/>
      <c r="M105" s="14" t="inlineStr">
        <is>
          <t>Cursor Agent</t>
        </is>
      </c>
      <c r="N105" s="14" t="inlineStr">
        <is>
          <t>2026-07-31</t>
        </is>
      </c>
    </row>
    <row r="106" ht="50" customHeight="1">
      <c r="A106" s="13" t="inlineStr">
        <is>
          <t>LDR-01</t>
        </is>
      </c>
      <c r="B106" s="14" t="inlineStr">
        <is>
          <t>LEADERBOARD</t>
        </is>
      </c>
      <c r="C106" s="14" t="inlineStr">
        <is>
          <t>Direct URL leaderboard menampilkan ranking</t>
        </is>
      </c>
      <c r="D106" s="18" t="inlineStr">
        <is>
          <t>Smoke</t>
        </is>
      </c>
      <c r="E106" s="32" t="inlineStr">
        <is>
          <t>P1</t>
        </is>
      </c>
      <c r="F106" s="14" t="inlineStr">
        <is>
          <t>PEMBINA / ANGGOTA</t>
        </is>
      </c>
      <c r="G106" s="14" t="inlineStr">
        <is>
          <t>Ada poin dari evaluasi/event/mutabaah</t>
        </is>
      </c>
      <c r="H106" s="14" t="inlineStr">
        <is>
          <t>1. Buka langsung /leaderboard (tidak di sidebar)
2. Verifikasi daftar ranking + poin</t>
        </is>
      </c>
      <c r="I106" s="14" t="inlineStr">
        <is>
          <t>Halaman load; ranking tampil (atau empty state)</t>
        </is>
      </c>
      <c r="J106" s="14" t="inlineStr">
        <is>
          <t>Catatan: route orphan — tidak di nav</t>
        </is>
      </c>
      <c r="K106" s="29" t="inlineStr">
        <is>
          <t>Pass</t>
        </is>
      </c>
      <c r="L106" s="14" t="inlineStr"/>
      <c r="M106" s="14" t="inlineStr">
        <is>
          <t>Cursor Agent</t>
        </is>
      </c>
      <c r="N106" s="14" t="inlineStr">
        <is>
          <t>2026-07-31</t>
        </is>
      </c>
    </row>
    <row r="107" ht="50" customHeight="1">
      <c r="A107" s="13" t="inlineStr">
        <is>
          <t>LDR-N01</t>
        </is>
      </c>
      <c r="B107" s="14" t="inlineStr">
        <is>
          <t>LEADERBOARD</t>
        </is>
      </c>
      <c r="C107" s="14" t="inlineStr">
        <is>
          <t>Tanpa auth → login</t>
        </is>
      </c>
      <c r="D107" s="17" t="inlineStr">
        <is>
          <t>Negatif</t>
        </is>
      </c>
      <c r="E107" s="32" t="inlineStr">
        <is>
          <t>P1</t>
        </is>
      </c>
      <c r="F107" s="14" t="inlineStr">
        <is>
          <t>Public</t>
        </is>
      </c>
      <c r="G107" s="14" t="inlineStr">
        <is>
          <t>Logout</t>
        </is>
      </c>
      <c r="H107" s="14" t="inlineStr">
        <is>
          <t>1. Buka /leaderboard</t>
        </is>
      </c>
      <c r="I107" s="14" t="inlineStr">
        <is>
          <t>Redirect /login</t>
        </is>
      </c>
      <c r="J107" s="14" t="inlineStr">
        <is>
          <t>—</t>
        </is>
      </c>
      <c r="K107" s="29" t="inlineStr">
        <is>
          <t>Pass</t>
        </is>
      </c>
      <c r="L107" s="14" t="inlineStr"/>
      <c r="M107" s="14" t="inlineStr">
        <is>
          <t>Cursor Agent</t>
        </is>
      </c>
      <c r="N107" s="14" t="inlineStr">
        <is>
          <t>2026-07-31</t>
        </is>
      </c>
    </row>
    <row r="108" ht="80" customHeight="1">
      <c r="A108" s="13" t="inlineStr">
        <is>
          <t>E2E-P1-01</t>
        </is>
      </c>
      <c r="B108" s="14" t="inlineStr">
        <is>
          <t>E2E</t>
        </is>
      </c>
      <c r="C108" s="14" t="inlineStr">
        <is>
          <t>Journey: event check-in → approve → poin</t>
        </is>
      </c>
      <c r="D108" s="15" t="inlineStr">
        <is>
          <t>Happy</t>
        </is>
      </c>
      <c r="E108" s="32" t="inlineStr">
        <is>
          <t>P1</t>
        </is>
      </c>
      <c r="F108" s="14" t="inlineStr">
        <is>
          <t>ADMIN → ANGGOTA → PEMBINA</t>
        </is>
      </c>
      <c r="G108" s="14" t="inlineStr">
        <is>
          <t>Env siap; catat judul event uji</t>
        </is>
      </c>
      <c r="H108" s="14" t="inlineStr">
        <is>
          <t>1. Admin buat event ongoing (level &amp; sekolah anggota)
2. Anggota check-in + foto
3. Pembina setujui
4. Verifikasi poin anggota
5. (Opsional) cek /leaderboard &amp; notifikasi</t>
        </is>
      </c>
      <c r="I108" s="14" t="inlineStr">
        <is>
          <t>Rantai event→poin konsisten di UI</t>
        </is>
      </c>
      <c r="J108" s="14" t="inlineStr">
        <is>
          <t>Email/akun seed</t>
        </is>
      </c>
      <c r="K108" s="29" t="inlineStr">
        <is>
          <t>Pass</t>
        </is>
      </c>
      <c r="L108" s="14" t="inlineStr"/>
      <c r="M108" s="14" t="inlineStr">
        <is>
          <t>Cursor Agent</t>
        </is>
      </c>
      <c r="N108" s="14" t="inlineStr">
        <is>
          <t>2026-07-31</t>
        </is>
      </c>
    </row>
    <row r="109" ht="56" customHeight="1">
      <c r="A109" s="13" t="inlineStr">
        <is>
          <t>E2E-P1-02</t>
        </is>
      </c>
      <c r="B109" s="14" t="inlineStr">
        <is>
          <t>E2E</t>
        </is>
      </c>
      <c r="C109" s="14" t="inlineStr">
        <is>
          <t>Journey: config mutabaah → isi → submit → pembina lihat</t>
        </is>
      </c>
      <c r="D109" s="15" t="inlineStr">
        <is>
          <t>Happy</t>
        </is>
      </c>
      <c r="E109" s="32" t="inlineStr">
        <is>
          <t>P1</t>
        </is>
      </c>
      <c r="F109" s="14" t="inlineStr">
        <is>
          <t>ADMIN → ANGGOTA → PEMBINA</t>
        </is>
      </c>
      <c r="G109" s="14" t="inlineStr">
        <is>
          <t>Master mutabaah ada</t>
        </is>
      </c>
      <c r="H109" s="14" t="inlineStr">
        <is>
          <t>1. Admin pastikan master mutabaah untuk level anggota
2. Anggota isi &amp; kirim mutabaah pekan ini
3. Pembina buka detail anggota → lihat mutabaah submitted + poin +2</t>
        </is>
      </c>
      <c r="I109" s="14" t="inlineStr">
        <is>
          <t>Data mutabaah &amp; poin konsisten</t>
        </is>
      </c>
      <c r="J109" s="14" t="inlineStr">
        <is>
          <t>—</t>
        </is>
      </c>
      <c r="K109" s="29" t="inlineStr">
        <is>
          <t>Pass</t>
        </is>
      </c>
      <c r="L109" s="14" t="inlineStr"/>
      <c r="M109" s="14" t="inlineStr">
        <is>
          <t>Cursor Agent</t>
        </is>
      </c>
      <c r="N109" s="14" t="inlineStr">
        <is>
          <t>2026-07-31</t>
        </is>
      </c>
    </row>
  </sheetData>
  <autoFilter ref="A4:N109"/>
  <mergeCells count="1">
    <mergeCell ref="A1:N1"/>
  </mergeCells>
  <conditionalFormatting sqref="K5:K63">
    <cfRule type="expression" priority="1" dxfId="0">
      <formula>$K5="Pass"</formula>
    </cfRule>
    <cfRule type="expression" priority="2" dxfId="1">
      <formula>$K5="Fail"</formula>
    </cfRule>
    <cfRule type="expression" priority="3" dxfId="2">
      <formula>$K5="Blocked"</formula>
    </cfRule>
  </conditionalFormatting>
  <conditionalFormatting sqref="K64:K109">
    <cfRule type="expression" priority="4" dxfId="0">
      <formula>$K5="Pass"</formula>
    </cfRule>
    <cfRule type="expression" priority="5" dxfId="0">
      <formula>$K64="Pass"</formula>
    </cfRule>
    <cfRule type="expression" priority="6" dxfId="1">
      <formula>$K64="Fail"</formula>
    </cfRule>
    <cfRule type="expression" priority="7" dxfId="2">
      <formula>$K64="Blocked"</formula>
    </cfRule>
  </conditionalFormatting>
  <dataValidations count="2">
    <dataValidation sqref="K5:K63" showDropDown="0" showInputMessage="0" showErrorMessage="0" allowBlank="1" type="list">
      <formula1>"Not Run,Pass,Fail,Blocked,Skip"</formula1>
    </dataValidation>
    <dataValidation sqref="K64:K109" showDropDown="0" showInputMessage="0" showErrorMessage="0" allowBlank="1" type="list">
      <formula1>"Not Run,Pass,Fail,Blocked,Skip"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Ringkasan Eksekusi Test P0</t>
        </is>
      </c>
    </row>
    <row r="3">
      <c r="A3" s="6" t="inlineStr">
        <is>
          <t>Metrik</t>
        </is>
      </c>
      <c r="B3" s="6" t="inlineStr">
        <is>
          <t>Nilai</t>
        </is>
      </c>
    </row>
    <row r="4">
      <c r="A4" s="19" t="inlineStr">
        <is>
          <t>Total Case P0</t>
        </is>
      </c>
      <c r="B4" s="20">
        <f>COUNTA('04_Test_Cases'!A5:A109)</f>
        <v/>
      </c>
    </row>
    <row r="5">
      <c r="A5" s="19" t="inlineStr">
        <is>
          <t>Not Run</t>
        </is>
      </c>
      <c r="B5" s="20">
        <f>COUNTIF('04_Test_Cases'!K5:K109,"Not Run")</f>
        <v/>
      </c>
    </row>
    <row r="6">
      <c r="A6" s="19" t="inlineStr">
        <is>
          <t>Pass</t>
        </is>
      </c>
      <c r="B6" s="21">
        <f>COUNTIF('04_Test_Cases'!K5:K109,"Pass")</f>
        <v/>
      </c>
    </row>
    <row r="7">
      <c r="A7" s="19" t="inlineStr">
        <is>
          <t>Fail</t>
        </is>
      </c>
      <c r="B7" s="22">
        <f>COUNTIF('04_Test_Cases'!K5:K109,"Fail")</f>
        <v/>
      </c>
    </row>
    <row r="8">
      <c r="A8" s="19" t="inlineStr">
        <is>
          <t>Blocked</t>
        </is>
      </c>
      <c r="B8" s="23">
        <f>COUNTIF('04_Test_Cases'!K5:K109,"Blocked")</f>
        <v/>
      </c>
    </row>
    <row r="9">
      <c r="A9" s="19" t="inlineStr">
        <is>
          <t>Skip</t>
        </is>
      </c>
      <c r="B9" s="20">
        <f>COUNTIF('04_Test_Cases'!K5:K109,"Skip")</f>
        <v/>
      </c>
    </row>
    <row r="10">
      <c r="A10" s="19" t="inlineStr">
        <is>
          <t>% Pass (dari dieksekusi excl Not Run/Skip)</t>
        </is>
      </c>
      <c r="B10" s="24">
        <f>IF((B6+B7+B8)=0,"-",B6/(B6+B7+B8))</f>
        <v/>
      </c>
    </row>
    <row r="11">
      <c r="A11" s="19" t="inlineStr">
        <is>
          <t>Status keseluruhan</t>
        </is>
      </c>
      <c r="B11" s="20">
        <f>IF(AND(B5=0,B7=0,B8=0),"YA — P0 hijau","BELUM — ada Not Run/Fail/Blocked")</f>
        <v/>
      </c>
    </row>
    <row r="13">
      <c r="A13" s="7" t="inlineStr">
        <is>
          <t>Breakdown per Modul</t>
        </is>
      </c>
    </row>
    <row r="14">
      <c r="A14" s="6" t="inlineStr">
        <is>
          <t>Modul</t>
        </is>
      </c>
      <c r="B14" s="6" t="inlineStr">
        <is>
          <t>Jumlah Case</t>
        </is>
      </c>
      <c r="C14" s="6" t="inlineStr">
        <is>
          <t>Pass</t>
        </is>
      </c>
      <c r="D14" s="6" t="inlineStr">
        <is>
          <t>Fail</t>
        </is>
      </c>
      <c r="E14" s="6" t="inlineStr">
        <is>
          <t>Not Run</t>
        </is>
      </c>
      <c r="F14" s="6" t="inlineStr">
        <is>
          <t>Catatan Sesi</t>
        </is>
      </c>
    </row>
    <row r="15">
      <c r="A15" s="4" t="inlineStr">
        <is>
          <t>AUTH</t>
        </is>
      </c>
      <c r="B15" s="4" t="n">
        <v>10</v>
      </c>
      <c r="C15" s="4">
        <f>COUNTIFS('04_Test_Cases'!B:B,A15,'04_Test_Cases'!K:K,"Pass")</f>
        <v/>
      </c>
      <c r="D15" s="4">
        <f>COUNTIFS('04_Test_Cases'!B:B,A15,'04_Test_Cases'!K:K,"Fail")</f>
        <v/>
      </c>
      <c r="E15" s="4">
        <f>COUNTIFS('04_Test_Cases'!B:B,A15,'04_Test_Cases'!K:K,"Not Run")</f>
        <v/>
      </c>
      <c r="F15" s="4" t="n"/>
    </row>
    <row r="16">
      <c r="A16" s="4" t="inlineStr">
        <is>
          <t>ROLE</t>
        </is>
      </c>
      <c r="B16" s="4" t="n">
        <v>8</v>
      </c>
      <c r="C16" s="4">
        <f>COUNTIFS('04_Test_Cases'!B:B,A16,'04_Test_Cases'!K:K,"Pass")</f>
        <v/>
      </c>
      <c r="D16" s="4">
        <f>COUNTIFS('04_Test_Cases'!B:B,A16,'04_Test_Cases'!K:K,"Fail")</f>
        <v/>
      </c>
      <c r="E16" s="4">
        <f>COUNTIFS('04_Test_Cases'!B:B,A16,'04_Test_Cases'!K:K,"Not Run")</f>
        <v/>
      </c>
      <c r="F16" s="4" t="n"/>
    </row>
    <row r="17">
      <c r="A17" s="4" t="inlineStr">
        <is>
          <t>USERS</t>
        </is>
      </c>
      <c r="B17" s="4" t="n">
        <v>6</v>
      </c>
      <c r="C17" s="4">
        <f>COUNTIFS('04_Test_Cases'!B:B,A17,'04_Test_Cases'!K:K,"Pass")</f>
        <v/>
      </c>
      <c r="D17" s="4">
        <f>COUNTIFS('04_Test_Cases'!B:B,A17,'04_Test_Cases'!K:K,"Fail")</f>
        <v/>
      </c>
      <c r="E17" s="4">
        <f>COUNTIFS('04_Test_Cases'!B:B,A17,'04_Test_Cases'!K:K,"Not Run")</f>
        <v/>
      </c>
      <c r="F17" s="4" t="n"/>
    </row>
    <row r="18">
      <c r="A18" s="4" t="inlineStr">
        <is>
          <t>INVI</t>
        </is>
      </c>
      <c r="B18" s="4" t="n">
        <v>8</v>
      </c>
      <c r="C18" s="4">
        <f>COUNTIFS('04_Test_Cases'!B:B,A18,'04_Test_Cases'!K:K,"Pass")</f>
        <v/>
      </c>
      <c r="D18" s="4">
        <f>COUNTIFS('04_Test_Cases'!B:B,A18,'04_Test_Cases'!K:K,"Fail")</f>
        <v/>
      </c>
      <c r="E18" s="4">
        <f>COUNTIFS('04_Test_Cases'!B:B,A18,'04_Test_Cases'!K:K,"Not Run")</f>
        <v/>
      </c>
      <c r="F18" s="4" t="n"/>
    </row>
    <row r="19">
      <c r="A19" s="4" t="inlineStr">
        <is>
          <t>SCHOOLS</t>
        </is>
      </c>
      <c r="B19" s="4" t="n">
        <v>8</v>
      </c>
      <c r="C19" s="4">
        <f>COUNTIFS('04_Test_Cases'!B:B,A19,'04_Test_Cases'!K:K,"Pass")</f>
        <v/>
      </c>
      <c r="D19" s="4">
        <f>COUNTIFS('04_Test_Cases'!B:B,A19,'04_Test_Cases'!K:K,"Fail")</f>
        <v/>
      </c>
      <c r="E19" s="4">
        <f>COUNTIFS('04_Test_Cases'!B:B,A19,'04_Test_Cases'!K:K,"Not Run")</f>
        <v/>
      </c>
      <c r="F19" s="4" t="n"/>
    </row>
    <row r="20">
      <c r="A20" s="4" t="inlineStr">
        <is>
          <t>KELOMPOK</t>
        </is>
      </c>
      <c r="B20" s="4" t="n">
        <v>8</v>
      </c>
      <c r="C20" s="4">
        <f>COUNTIFS('04_Test_Cases'!B:B,A20,'04_Test_Cases'!K:K,"Pass")</f>
        <v/>
      </c>
      <c r="D20" s="4">
        <f>COUNTIFS('04_Test_Cases'!B:B,A20,'04_Test_Cases'!K:K,"Fail")</f>
        <v/>
      </c>
      <c r="E20" s="4">
        <f>COUNTIFS('04_Test_Cases'!B:B,A20,'04_Test_Cases'!K:K,"Not Run")</f>
        <v/>
      </c>
      <c r="F20" s="4" t="n"/>
    </row>
    <row r="21">
      <c r="A21" s="4" t="inlineStr">
        <is>
          <t>EVAL</t>
        </is>
      </c>
      <c r="B21" s="4" t="n">
        <v>8</v>
      </c>
      <c r="C21" s="4">
        <f>COUNTIFS('04_Test_Cases'!B:B,A21,'04_Test_Cases'!K:K,"Pass")</f>
        <v/>
      </c>
      <c r="D21" s="4">
        <f>COUNTIFS('04_Test_Cases'!B:B,A21,'04_Test_Cases'!K:K,"Fail")</f>
        <v/>
      </c>
      <c r="E21" s="4">
        <f>COUNTIFS('04_Test_Cases'!B:B,A21,'04_Test_Cases'!K:K,"Not Run")</f>
        <v/>
      </c>
      <c r="F21" s="4" t="n"/>
    </row>
    <row r="22">
      <c r="A22" s="4" t="inlineStr">
        <is>
          <t>PROFILE</t>
        </is>
      </c>
      <c r="B22" s="4" t="n">
        <v>1</v>
      </c>
      <c r="C22" s="4">
        <f>COUNTIFS('04_Test_Cases'!B:B,A22,'04_Test_Cases'!K:K,"Pass")</f>
        <v/>
      </c>
      <c r="D22" s="4">
        <f>COUNTIFS('04_Test_Cases'!B:B,A22,'04_Test_Cases'!K:K,"Fail")</f>
        <v/>
      </c>
      <c r="E22" s="4">
        <f>COUNTIFS('04_Test_Cases'!B:B,A22,'04_Test_Cases'!K:K,"Not Run")</f>
        <v/>
      </c>
      <c r="F22" s="4" t="n"/>
    </row>
    <row r="23">
      <c r="A23" s="4" t="inlineStr">
        <is>
          <t>DASHBOARD</t>
        </is>
      </c>
      <c r="B23" s="4" t="n">
        <v>1</v>
      </c>
      <c r="C23" s="4">
        <f>COUNTIFS('04_Test_Cases'!B:B,A23,'04_Test_Cases'!K:K,"Pass")</f>
        <v/>
      </c>
      <c r="D23" s="4">
        <f>COUNTIFS('04_Test_Cases'!B:B,A23,'04_Test_Cases'!K:K,"Fail")</f>
        <v/>
      </c>
      <c r="E23" s="4">
        <f>COUNTIFS('04_Test_Cases'!B:B,A23,'04_Test_Cases'!K:K,"Not Run")</f>
        <v/>
      </c>
      <c r="F23" s="4" t="n"/>
    </row>
    <row r="24">
      <c r="A24" s="4" t="inlineStr">
        <is>
          <t>E2E</t>
        </is>
      </c>
      <c r="B24" s="4" t="n">
        <v>1</v>
      </c>
      <c r="C24" s="4">
        <f>COUNTIFS('04_Test_Cases'!B:B,A24,'04_Test_Cases'!K:K,"Pass")</f>
        <v/>
      </c>
      <c r="D24" s="4">
        <f>COUNTIFS('04_Test_Cases'!B:B,A24,'04_Test_Cases'!K:K,"Fail")</f>
        <v/>
      </c>
      <c r="E24" s="4">
        <f>COUNTIFS('04_Test_Cases'!B:B,A24,'04_Test_Cases'!K:K,"Not Run")</f>
        <v/>
      </c>
      <c r="F24" s="4" t="n"/>
    </row>
    <row r="25">
      <c r="A25" s="4" t="inlineStr">
        <is>
          <t>AGENDA</t>
        </is>
      </c>
      <c r="B25" s="4" t="n">
        <v>10</v>
      </c>
      <c r="C25" s="4">
        <f>COUNTIFS('04_Test_Cases'!B:B,A25,'04_Test_Cases'!K:K,"Pass")</f>
        <v/>
      </c>
      <c r="D25" s="4">
        <f>COUNTIFS('04_Test_Cases'!B:B,A25,'04_Test_Cases'!K:K,"Fail")</f>
        <v/>
      </c>
      <c r="E25" s="4">
        <f>COUNTIFS('04_Test_Cases'!B:B,A25,'04_Test_Cases'!K:K,"Not Run")</f>
        <v/>
      </c>
      <c r="F25" s="4" t="n"/>
    </row>
    <row r="26">
      <c r="A26" s="4" t="inlineStr">
        <is>
          <t>MATERI</t>
        </is>
      </c>
      <c r="B26" s="4" t="n">
        <v>6</v>
      </c>
      <c r="C26" s="4">
        <f>COUNTIFS('04_Test_Cases'!B:B,A26,'04_Test_Cases'!K:K,"Pass")</f>
        <v/>
      </c>
      <c r="D26" s="4">
        <f>COUNTIFS('04_Test_Cases'!B:B,A26,'04_Test_Cases'!K:K,"Fail")</f>
        <v/>
      </c>
      <c r="E26" s="4">
        <f>COUNTIFS('04_Test_Cases'!B:B,A26,'04_Test_Cases'!K:K,"Not Run")</f>
        <v/>
      </c>
      <c r="F26" s="4" t="n"/>
    </row>
    <row r="27">
      <c r="A27" s="4" t="inlineStr">
        <is>
          <t>ANALITIK</t>
        </is>
      </c>
      <c r="B27" s="4" t="n">
        <v>3</v>
      </c>
      <c r="C27" s="4">
        <f>COUNTIFS('04_Test_Cases'!B:B,A27,'04_Test_Cases'!K:K,"Pass")</f>
        <v/>
      </c>
      <c r="D27" s="4">
        <f>COUNTIFS('04_Test_Cases'!B:B,A27,'04_Test_Cases'!K:K,"Fail")</f>
        <v/>
      </c>
      <c r="E27" s="4">
        <f>COUNTIFS('04_Test_Cases'!B:B,A27,'04_Test_Cases'!K:K,"Not Run")</f>
        <v/>
      </c>
      <c r="F27" s="4" t="n"/>
    </row>
    <row r="28">
      <c r="A28" s="33" t="inlineStr">
        <is>
          <t>MUTABAAH</t>
        </is>
      </c>
      <c r="B28" s="33" t="n">
        <v>5</v>
      </c>
      <c r="C28" s="33">
        <f>COUNTIFS('04_Test_Cases'!B:B,A28,'04_Test_Cases'!K:K,"Pass")</f>
        <v/>
      </c>
      <c r="D28" s="33">
        <f>COUNTIFS('04_Test_Cases'!B:B,A28,'04_Test_Cases'!K:K,"Fail")</f>
        <v/>
      </c>
      <c r="E28" s="33">
        <f>COUNTIFS('04_Test_Cases'!B:B,A28,'04_Test_Cases'!K:K,"Not Run")</f>
        <v/>
      </c>
      <c r="F28" s="33" t="inlineStr">
        <is>
          <t>Bug terkait</t>
        </is>
      </c>
    </row>
    <row r="29">
      <c r="A29" s="4" t="inlineStr">
        <is>
          <t>IC</t>
        </is>
      </c>
      <c r="B29" s="4" t="n">
        <v>5</v>
      </c>
      <c r="C29" s="4">
        <f>COUNTIFS('04_Test_Cases'!B:B,A29,'04_Test_Cases'!K:K,"Pass")</f>
        <v/>
      </c>
      <c r="D29" s="4">
        <f>COUNTIFS('04_Test_Cases'!B:B,A29,'04_Test_Cases'!K:K,"Fail")</f>
        <v/>
      </c>
      <c r="E29" s="4">
        <f>COUNTIFS('04_Test_Cases'!B:B,A29,'04_Test_Cases'!K:K,"Not Run")</f>
        <v/>
      </c>
      <c r="F29" s="4" t="inlineStr">
        <is>
          <t>seed gender; users search; evaluasi 404 UI; rate limit 300</t>
        </is>
      </c>
    </row>
    <row r="30">
      <c r="A30" s="4" t="inlineStr">
        <is>
          <t>KKS</t>
        </is>
      </c>
      <c r="B30" s="4" t="n">
        <v>5</v>
      </c>
      <c r="C30" s="4">
        <f>COUNTIFS('04_Test_Cases'!B:B,A30,'04_Test_Cases'!K:K,"Pass")</f>
        <v/>
      </c>
      <c r="D30" s="4">
        <f>COUNTIFS('04_Test_Cases'!B:B,A30,'04_Test_Cases'!K:K,"Fail")</f>
        <v/>
      </c>
      <c r="E30" s="4">
        <f>COUNTIFS('04_Test_Cases'!B:B,A30,'04_Test_Cases'!K:K,"Not Run")</f>
        <v/>
      </c>
      <c r="F30" s="4" t="n"/>
    </row>
    <row r="31">
      <c r="A31" s="4" t="inlineStr">
        <is>
          <t>CONFIG</t>
        </is>
      </c>
      <c r="B31" s="4" t="n">
        <v>5</v>
      </c>
      <c r="C31" s="4">
        <f>COUNTIFS('04_Test_Cases'!B:B,A31,'04_Test_Cases'!K:K,"Pass")</f>
        <v/>
      </c>
      <c r="D31" s="4">
        <f>COUNTIFS('04_Test_Cases'!B:B,A31,'04_Test_Cases'!K:K,"Fail")</f>
        <v/>
      </c>
      <c r="E31" s="4">
        <f>COUNTIFS('04_Test_Cases'!B:B,A31,'04_Test_Cases'!K:K,"Not Run")</f>
        <v/>
      </c>
      <c r="F31" s="4" t="n"/>
    </row>
    <row r="32">
      <c r="A32" s="4" t="inlineStr">
        <is>
          <t>NOTIFIKASI</t>
        </is>
      </c>
      <c r="B32" s="4" t="n">
        <v>3</v>
      </c>
      <c r="C32" s="4">
        <f>COUNTIFS('04_Test_Cases'!B:B,A32,'04_Test_Cases'!K:K,"Pass")</f>
        <v/>
      </c>
      <c r="D32" s="4">
        <f>COUNTIFS('04_Test_Cases'!B:B,A32,'04_Test_Cases'!K:K,"Fail")</f>
        <v/>
      </c>
      <c r="E32" s="4">
        <f>COUNTIFS('04_Test_Cases'!B:B,A32,'04_Test_Cases'!K:K,"Not Run")</f>
        <v/>
      </c>
      <c r="F32" s="4" t="n"/>
    </row>
    <row r="33">
      <c r="A33" s="4" t="inlineStr">
        <is>
          <t>LEADERBOARD</t>
        </is>
      </c>
      <c r="B33" s="4" t="n">
        <v>2</v>
      </c>
      <c r="C33" s="4">
        <f>COUNTIFS('04_Test_Cases'!B:B,A33,'04_Test_Cases'!K:K,"Pass")</f>
        <v/>
      </c>
      <c r="D33" s="4">
        <f>COUNTIFS('04_Test_Cases'!B:B,A33,'04_Test_Cases'!K:K,"Fail")</f>
        <v/>
      </c>
      <c r="E33" s="4">
        <f>COUNTIFS('04_Test_Cases'!B:B,A33,'04_Test_Cases'!K:K,"Not Run")</f>
        <v/>
      </c>
      <c r="F33" s="4" t="n"/>
    </row>
    <row r="34">
      <c r="A34" t="inlineStr">
        <is>
          <t>2026-07-31</t>
        </is>
      </c>
      <c r="B34" t="inlineStr">
        <is>
          <t>Cursor Agent</t>
        </is>
      </c>
      <c r="C34" t="inlineStr">
        <is>
          <t>local P1 suite</t>
        </is>
      </c>
      <c r="D34" t="inlineStr">
        <is>
          <t>manual-p1-runner</t>
        </is>
      </c>
      <c r="E34" t="inlineStr">
        <is>
          <t>P1: P41/F0/S6 (excl SETUP)</t>
        </is>
      </c>
      <c r="F34" t="inlineStr">
        <is>
          <t>anggota seed sempat punya PEMBINA dari accept-role; dibersihkan sebelum retest</t>
        </is>
      </c>
    </row>
    <row r="36">
      <c r="A36" s="7" t="inlineStr">
        <is>
          <t>Definisi Kelulusan P0</t>
        </is>
      </c>
    </row>
    <row r="37" ht="80" customHeight="1">
      <c r="A37" s="26" t="inlineStr">
        <is>
          <t>1. Semua case Happy &amp; Smoke = Pass
2. Case Negatif kritis (login gagal, ACL, 409 evaluasi, gender mismatch) = Pass
3. Tidak ada blank page pada nav 5 role
4. Journey E2E-01 = Pass sebelum cutover staging
5. Fail yang tersisa harus punya ticket bug sebelum release</t>
        </is>
      </c>
    </row>
    <row r="39">
      <c r="A39" s="7" t="inlineStr">
        <is>
          <t>Catatan jumlah case</t>
        </is>
      </c>
    </row>
    <row r="40" ht="45" customHeight="1">
      <c r="A40" s="26" t="inlineStr">
        <is>
          <t>P0 asli ~59 case. Ditambah 46 case P1 pada 2026-07-31. Total di 04_Test_Cases ≈ 105. Filter kolom Prioritas untuk fokus sesi P0 vs P1.</t>
        </is>
      </c>
    </row>
  </sheetData>
  <mergeCells count="3">
    <mergeCell ref="A40:F40"/>
    <mergeCell ref="A37:F37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2" customWidth="1" min="4" max="4"/>
  </cols>
  <sheetData>
    <row r="1">
      <c r="A1" s="1" t="inlineStr">
        <is>
          <t>Checklist Cepat P0 (1 halaman — sesi smoke 30–45 menit)</t>
        </is>
      </c>
    </row>
    <row r="3">
      <c r="A3" s="6" t="inlineStr">
        <is>
          <t>#</t>
        </is>
      </c>
      <c r="B3" s="6" t="inlineStr">
        <is>
          <t>Checklist</t>
        </is>
      </c>
      <c r="C3" s="6" t="inlineStr">
        <is>
          <t>Role</t>
        </is>
      </c>
      <c r="D3" s="6" t="inlineStr">
        <is>
          <t>Done (✓)</t>
        </is>
      </c>
    </row>
    <row r="4">
      <c r="A4" s="12" t="n">
        <v>1</v>
      </c>
      <c r="B4" s="4" t="inlineStr">
        <is>
          <t>Login 5 role seed sukses</t>
        </is>
      </c>
      <c r="C4" s="4" t="inlineStr">
        <is>
          <t>Semua</t>
        </is>
      </c>
      <c r="D4" s="12" t="inlineStr"/>
    </row>
    <row r="5">
      <c r="A5" s="12" t="n">
        <v>2</v>
      </c>
      <c r="B5" s="4" t="inlineStr">
        <is>
          <t>Logout + proteksi /dashboard</t>
        </is>
      </c>
      <c r="C5" s="4" t="inlineStr">
        <is>
          <t>SA</t>
        </is>
      </c>
      <c r="D5" s="12" t="inlineStr"/>
    </row>
    <row r="6">
      <c r="A6" s="12" t="n">
        <v>3</v>
      </c>
      <c r="B6" s="4" t="inlineStr">
        <is>
          <t>Nav tidak blank — Superadmin</t>
        </is>
      </c>
      <c r="C6" s="4" t="inlineStr">
        <is>
          <t>SA</t>
        </is>
      </c>
      <c r="D6" s="12" t="inlineStr"/>
    </row>
    <row r="7">
      <c r="A7" s="12" t="n">
        <v>4</v>
      </c>
      <c r="B7" s="4" t="inlineStr">
        <is>
          <t>Nav tidak blank — Admin</t>
        </is>
      </c>
      <c r="C7" s="4" t="inlineStr">
        <is>
          <t>Admin</t>
        </is>
      </c>
      <c r="D7" s="12" t="inlineStr"/>
    </row>
    <row r="8">
      <c r="A8" s="12" t="n">
        <v>5</v>
      </c>
      <c r="B8" s="4" t="inlineStr">
        <is>
          <t>Nav tidak blank — PJ</t>
        </is>
      </c>
      <c r="C8" s="4" t="inlineStr">
        <is>
          <t>PJ</t>
        </is>
      </c>
      <c r="D8" s="12" t="inlineStr"/>
    </row>
    <row r="9">
      <c r="A9" s="12" t="n">
        <v>6</v>
      </c>
      <c r="B9" s="4" t="inlineStr">
        <is>
          <t>Nav tidak blank — Pembina (+Evaluasi)</t>
        </is>
      </c>
      <c r="C9" s="4" t="inlineStr">
        <is>
          <t>Pembina</t>
        </is>
      </c>
      <c r="D9" s="12" t="inlineStr"/>
    </row>
    <row r="10">
      <c r="A10" s="12" t="n">
        <v>7</v>
      </c>
      <c r="B10" s="4" t="inlineStr">
        <is>
          <t>Nav tidak blank — Anggota (+Mutabaah)</t>
        </is>
      </c>
      <c r="C10" s="4" t="inlineStr">
        <is>
          <t>Anggota</t>
        </is>
      </c>
      <c r="D10" s="12" t="inlineStr"/>
    </row>
    <row r="11">
      <c r="A11" s="12" t="n">
        <v>8</v>
      </c>
      <c r="B11" s="4" t="inlineStr">
        <is>
          <t>Drill-down SMAN 1 → kelompok → anggota</t>
        </is>
      </c>
      <c r="C11" s="4" t="inlineStr">
        <is>
          <t>SA</t>
        </is>
      </c>
      <c r="D11" s="12" t="inlineStr"/>
    </row>
    <row r="12">
      <c r="A12" s="12" t="n">
        <v>9</v>
      </c>
      <c r="B12" s="4" t="inlineStr">
        <is>
          <t>RoleSwitcher multi-role bekerja</t>
        </is>
      </c>
      <c r="C12" s="4" t="inlineStr">
        <is>
          <t>Multi</t>
        </is>
      </c>
      <c r="D12" s="12" t="inlineStr"/>
    </row>
    <row r="13">
      <c r="A13" s="12" t="n">
        <v>10</v>
      </c>
      <c r="B13" s="4" t="inlineStr">
        <is>
          <t>ACL: Anggota tidak masuk /users</t>
        </is>
      </c>
      <c r="C13" s="4" t="inlineStr">
        <is>
          <t>Anggota</t>
        </is>
      </c>
      <c r="D13" s="12" t="inlineStr"/>
    </row>
    <row r="14">
      <c r="A14" s="12" t="n">
        <v>11</v>
      </c>
      <c r="B14" s="4" t="inlineStr">
        <is>
          <t>Undang admin / lihat /invitations</t>
        </is>
      </c>
      <c r="C14" s="4" t="inlineStr">
        <is>
          <t>SA</t>
        </is>
      </c>
      <c r="D14" s="12" t="inlineStr"/>
    </row>
    <row r="15">
      <c r="A15" s="12" t="n">
        <v>12</v>
      </c>
      <c r="B15" s="4" t="inlineStr">
        <is>
          <t>Buat sekolah atau kelompok (satu write flow)</t>
        </is>
      </c>
      <c r="C15" s="4" t="inlineStr">
        <is>
          <t>Admin/PJ</t>
        </is>
      </c>
      <c r="D15" s="12" t="inlineStr"/>
    </row>
    <row r="16">
      <c r="A16" s="12" t="n">
        <v>13</v>
      </c>
      <c r="B16" s="4" t="inlineStr">
        <is>
          <t>Undang anggota gender match</t>
        </is>
      </c>
      <c r="C16" s="4" t="inlineStr">
        <is>
          <t>Pembina</t>
        </is>
      </c>
      <c r="D16" s="12" t="inlineStr"/>
    </row>
    <row r="17">
      <c r="A17" s="12" t="n">
        <v>14</v>
      </c>
      <c r="B17" s="4" t="inlineStr">
        <is>
          <t>Isi + submit evaluasi minggu baru</t>
        </is>
      </c>
      <c r="C17" s="4" t="inlineStr">
        <is>
          <t>Pembina</t>
        </is>
      </c>
      <c r="D17" s="12" t="inlineStr"/>
    </row>
    <row r="18">
      <c r="A18" s="12" t="n">
        <v>15</v>
      </c>
      <c r="B18" s="4" t="inlineStr">
        <is>
          <t>Duplikat evaluasi ditolak</t>
        </is>
      </c>
      <c r="C18" s="4" t="inlineStr">
        <is>
          <t>Pembina</t>
        </is>
      </c>
      <c r="D18" s="12" t="inlineStr"/>
    </row>
    <row r="19">
      <c r="A19" s="12" t="n">
        <v>16</v>
      </c>
      <c r="B19" s="4" t="inlineStr">
        <is>
          <t>Profil &amp; dashboard load</t>
        </is>
      </c>
      <c r="C19" s="4" t="inlineStr">
        <is>
          <t>Semua</t>
        </is>
      </c>
      <c r="D19" s="12" t="inlineStr"/>
    </row>
  </sheetData>
  <mergeCells count="1">
    <mergeCell ref="A1:D1"/>
  </mergeCells>
  <dataValidations count="1">
    <dataValidation sqref="D4:D19" showDropDown="0" showInputMessage="0" showErrorMessage="0" allowBlank="1" type="list">
      <formula1>"☐,✓,✗,—"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8" customWidth="1" min="4" max="4"/>
    <col width="40" customWidth="1" min="5" max="5"/>
    <col width="28" customWidth="1" min="6" max="6"/>
    <col width="28" customWidth="1" min="7" max="7"/>
    <col width="12" customWidth="1" min="8" max="8"/>
    <col width="28" customWidth="1" min="9" max="9"/>
  </cols>
  <sheetData>
    <row r="1">
      <c r="A1" s="1" t="inlineStr">
        <is>
          <t>Bug Log hasil uji manual P0</t>
        </is>
      </c>
    </row>
    <row r="3">
      <c r="A3" s="6" t="inlineStr">
        <is>
          <t>Bug ID</t>
        </is>
      </c>
      <c r="B3" s="6" t="inlineStr">
        <is>
          <t>Case ID terkait</t>
        </is>
      </c>
      <c r="C3" s="6" t="inlineStr">
        <is>
          <t>Severity (S0-S3)</t>
        </is>
      </c>
      <c r="D3" s="6" t="inlineStr">
        <is>
          <t>Judul</t>
        </is>
      </c>
      <c r="E3" s="6" t="inlineStr">
        <is>
          <t>Langkah Reproduce</t>
        </is>
      </c>
      <c r="F3" s="6" t="inlineStr">
        <is>
          <t>Expected</t>
        </is>
      </c>
      <c r="G3" s="6" t="inlineStr">
        <is>
          <t>Actual</t>
        </is>
      </c>
      <c r="H3" s="6" t="inlineStr">
        <is>
          <t>Status</t>
        </is>
      </c>
      <c r="I3" s="6" t="inlineStr">
        <is>
          <t>Link Issue</t>
        </is>
      </c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</row>
    <row r="22">
      <c r="A22" s="28" t="inlineStr">
        <is>
          <t>Severity: S0=blocker production | S1=fitur P0 rusak | S2=workaround ada | S3=kosmetik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0" customWidth="1" min="4" max="4"/>
    <col width="10" customWidth="1" min="5" max="5"/>
    <col width="22" customWidth="1" min="6" max="6"/>
    <col width="36" customWidth="1" min="7" max="7"/>
    <col width="55" customWidth="1" min="8" max="8"/>
    <col width="42" customWidth="1" min="9" max="9"/>
    <col width="28" customWidth="1" min="10" max="10"/>
    <col width="12" customWidth="1" min="11" max="11"/>
    <col width="28" customWidth="1" min="12" max="12"/>
    <col width="14" customWidth="1" min="13" max="13"/>
    <col width="12" customWidth="1" min="14" max="14"/>
  </cols>
  <sheetData>
    <row r="1">
      <c r="A1" s="1" t="inlineStr">
        <is>
          <t>Test Cases Manual P1 — Agenda, Materi, Analitik, Mutabaah, IC, KKS, Config, dll.</t>
        </is>
      </c>
    </row>
    <row r="2">
      <c r="A2" s="8" t="inlineStr">
        <is>
          <t>Salinan case P1 agar mudah difilter. Status di sheet ini independen — utamakan update Status di 04_Test_Cases agar Ringkasan akurat, atau samakan keduanya.</t>
        </is>
      </c>
    </row>
    <row r="4">
      <c r="A4" s="6" t="inlineStr">
        <is>
          <t>Case ID</t>
        </is>
      </c>
      <c r="B4" s="6" t="inlineStr">
        <is>
          <t>Modul</t>
        </is>
      </c>
      <c r="C4" s="6" t="inlineStr">
        <is>
          <t>Judul Case</t>
        </is>
      </c>
      <c r="D4" s="6" t="inlineStr">
        <is>
          <t>Tipe</t>
        </is>
      </c>
      <c r="E4" s="6" t="inlineStr">
        <is>
          <t>Prioritas</t>
        </is>
      </c>
      <c r="F4" s="6" t="inlineStr">
        <is>
          <t>Role Penguji</t>
        </is>
      </c>
      <c r="G4" s="6" t="inlineStr">
        <is>
          <t>Prekondisi</t>
        </is>
      </c>
      <c r="H4" s="6" t="inlineStr">
        <is>
          <t>Langkah Uji (Cara Test)</t>
        </is>
      </c>
      <c r="I4" s="6" t="inlineStr">
        <is>
          <t>Hasil Diharapkan</t>
        </is>
      </c>
      <c r="J4" s="6" t="inlineStr">
        <is>
          <t>Data Uji</t>
        </is>
      </c>
      <c r="K4" s="6" t="inlineStr">
        <is>
          <t>Status</t>
        </is>
      </c>
      <c r="L4" s="6" t="inlineStr">
        <is>
          <t>Actual Result</t>
        </is>
      </c>
      <c r="M4" s="6" t="inlineStr">
        <is>
          <t>Tester</t>
        </is>
      </c>
      <c r="N4" s="6" t="inlineStr">
        <is>
          <t>Tanggal</t>
        </is>
      </c>
    </row>
    <row r="5" ht="117" customHeight="1">
      <c r="A5" s="14" t="inlineStr">
        <is>
          <t>EVT-01</t>
        </is>
      </c>
      <c r="B5" s="14" t="inlineStr">
        <is>
          <t>AGENDA</t>
        </is>
      </c>
      <c r="C5" s="14" t="inlineStr">
        <is>
          <t>SA/Admin buat event semua sekolah</t>
        </is>
      </c>
      <c r="D5" s="15" t="inlineStr">
        <is>
          <t>Happy</t>
        </is>
      </c>
      <c r="E5" s="32" t="inlineStr">
        <is>
          <t>P1</t>
        </is>
      </c>
      <c r="F5" s="14" t="inlineStr">
        <is>
          <t>SUPERADMIN / ADMIN</t>
        </is>
      </c>
      <c r="G5" s="14" t="inlineStr">
        <is>
          <t>Login SA atau Admin</t>
        </is>
      </c>
      <c r="H5" s="14" t="inlineStr">
        <is>
          <t>1. Buka Agenda (/events)
2. Klik Tambah
3. Isi Judul (≥2 karakter)
4. Isi waktu Mulai &amp; Berakhir (end &gt; start)
5. Isi Poin check-in
6. Cakupan: Semua sekolah (atau pilih sekolah)
7. Centang minimal satu level kelompok (LEVEL_1/LEVEL_2)
8. Pastikan dipublikasikan
9. Klik Buat event</t>
        </is>
      </c>
      <c r="I5" s="14" t="inlineStr">
        <is>
          <t>Event muncul di list Agenda; status/waktu sesuai; anggota eligible bisa melihat saat ongoing</t>
        </is>
      </c>
      <c r="J5" s="14" t="inlineStr">
        <is>
          <t>Judul unik + window waktu overlapping sekarang jika ingin uji check-in</t>
        </is>
      </c>
      <c r="K5" s="29" t="inlineStr">
        <is>
          <t>Pass</t>
        </is>
      </c>
      <c r="L5" s="14" t="inlineStr"/>
      <c r="M5" s="14" t="inlineStr">
        <is>
          <t>Cursor Agent</t>
        </is>
      </c>
      <c r="N5" s="14" t="inlineStr">
        <is>
          <t>2026-07-31</t>
        </is>
      </c>
    </row>
    <row r="6" ht="62" customHeight="1">
      <c r="A6" s="14" t="inlineStr">
        <is>
          <t>EVT-02</t>
        </is>
      </c>
      <c r="B6" s="14" t="inlineStr">
        <is>
          <t>AGENDA</t>
        </is>
      </c>
      <c r="C6" s="14" t="inlineStr">
        <is>
          <t>PJ buat event scope sekolah sendiri</t>
        </is>
      </c>
      <c r="D6" s="15" t="inlineStr">
        <is>
          <t>Happy</t>
        </is>
      </c>
      <c r="E6" s="32" t="inlineStr">
        <is>
          <t>P1</t>
        </is>
      </c>
      <c r="F6" s="14" t="inlineStr">
        <is>
          <t>PJ_SEKOLAH</t>
        </is>
      </c>
      <c r="G6" s="14" t="inlineStr">
        <is>
          <t>Login PJ SMAN 1</t>
        </is>
      </c>
      <c r="H6" s="14" t="inlineStr">
        <is>
          <t>1. Buka Agenda → Tambah
2. Isi judul, waktu, poin, level
3. Pastikan tidak perlu pilih sekolah lain (otomatis sekolah PJ)
4. Buat event</t>
        </is>
      </c>
      <c r="I6" s="14" t="inlineStr">
        <is>
          <t>Event dibuat hanya untuk sekolah PJ; teks UI menjelaskan cakupan sekolah</t>
        </is>
      </c>
      <c r="J6" s="14" t="inlineStr">
        <is>
          <t>Event SMAN 1 saja</t>
        </is>
      </c>
      <c r="K6" s="29" t="inlineStr">
        <is>
          <t>Pass</t>
        </is>
      </c>
      <c r="L6" s="14" t="inlineStr"/>
      <c r="M6" s="14" t="inlineStr">
        <is>
          <t>Cursor Agent</t>
        </is>
      </c>
      <c r="N6" s="14" t="inlineStr">
        <is>
          <t>2026-07-31</t>
        </is>
      </c>
    </row>
    <row r="7" ht="73" customHeight="1">
      <c r="A7" s="14" t="inlineStr">
        <is>
          <t>EVT-03</t>
        </is>
      </c>
      <c r="B7" s="14" t="inlineStr">
        <is>
          <t>AGENDA</t>
        </is>
      </c>
      <c r="C7" s="14" t="inlineStr">
        <is>
          <t>Anggota check-in dengan foto (event ongoing)</t>
        </is>
      </c>
      <c r="D7" s="15" t="inlineStr">
        <is>
          <t>Happy</t>
        </is>
      </c>
      <c r="E7" s="32" t="inlineStr">
        <is>
          <t>P1</t>
        </is>
      </c>
      <c r="F7" s="14" t="inlineStr">
        <is>
          <t>ANGGOTA</t>
        </is>
      </c>
      <c r="G7" s="14" t="inlineStr">
        <is>
          <t>Ada event Sedang berlangsung untuk level/sekolah anggota</t>
        </is>
      </c>
      <c r="H7" s="14" t="inlineStr">
        <is>
          <t>1. Login Anggota
2. Buka Agenda → buka event ongoing
3. Ambil/pilih foto check-in
4. Klik Kirim check-in
5. Amati status</t>
        </is>
      </c>
      <c r="I7" s="14" t="inlineStr">
        <is>
          <t>Status Menunggu persetujuan pembina; foto terunggah; tidak dapat double-submit pending</t>
        </is>
      </c>
      <c r="J7" s="14" t="inlineStr">
        <is>
          <t>Foto JPG/PNG &lt; ~5MB</t>
        </is>
      </c>
      <c r="K7" s="29" t="inlineStr">
        <is>
          <t>Pass</t>
        </is>
      </c>
      <c r="L7" s="14" t="inlineStr"/>
      <c r="M7" s="14" t="inlineStr">
        <is>
          <t>Cursor Agent</t>
        </is>
      </c>
      <c r="N7" s="14" t="inlineStr">
        <is>
          <t>2026-07-31</t>
        </is>
      </c>
    </row>
    <row r="8" ht="73" customHeight="1">
      <c r="A8" s="14" t="inlineStr">
        <is>
          <t>EVT-04</t>
        </is>
      </c>
      <c r="B8" s="14" t="inlineStr">
        <is>
          <t>AGENDA</t>
        </is>
      </c>
      <c r="C8" s="14" t="inlineStr">
        <is>
          <t>Pembina setujui check-in → poin masuk</t>
        </is>
      </c>
      <c r="D8" s="15" t="inlineStr">
        <is>
          <t>Happy</t>
        </is>
      </c>
      <c r="E8" s="32" t="inlineStr">
        <is>
          <t>P1</t>
        </is>
      </c>
      <c r="F8" s="14" t="inlineStr">
        <is>
          <t>PEMBINA</t>
        </is>
      </c>
      <c r="G8" s="14" t="inlineStr">
        <is>
          <t>Ada check-in PENDING dari anggota kelompoknya (EVT-03)</t>
        </is>
      </c>
      <c r="H8" s="14" t="inlineStr">
        <is>
          <t>1. Login Pembina
2. Agenda → Persetujuan (/events/check-ins)
3. Review foto &amp; detail
4. Klik Setujui
5. Cek poin anggota bertambah sebesar pointValue event</t>
        </is>
      </c>
      <c r="I8" s="14" t="inlineStr">
        <is>
          <t>Status APPROVED; poin anggota naik; PointLog tercatat</t>
        </is>
      </c>
      <c r="J8" s="14" t="inlineStr">
        <is>
          <t>Anggota kelompok pembina</t>
        </is>
      </c>
      <c r="K8" s="29" t="inlineStr">
        <is>
          <t>Pass</t>
        </is>
      </c>
      <c r="L8" s="14" t="inlineStr"/>
      <c r="M8" s="14" t="inlineStr">
        <is>
          <t>Cursor Agent</t>
        </is>
      </c>
      <c r="N8" s="14" t="inlineStr">
        <is>
          <t>2026-07-31</t>
        </is>
      </c>
    </row>
    <row r="9" ht="62" customHeight="1">
      <c r="A9" s="14" t="inlineStr">
        <is>
          <t>EVT-05</t>
        </is>
      </c>
      <c r="B9" s="14" t="inlineStr">
        <is>
          <t>AGENDA</t>
        </is>
      </c>
      <c r="C9" s="14" t="inlineStr">
        <is>
          <t>Pembina tolak check-in → anggota bisa kirim ulang</t>
        </is>
      </c>
      <c r="D9" s="15" t="inlineStr">
        <is>
          <t>Happy</t>
        </is>
      </c>
      <c r="E9" s="32" t="inlineStr">
        <is>
          <t>P1</t>
        </is>
      </c>
      <c r="F9" s="14" t="inlineStr">
        <is>
          <t>PEMBINA → ANGGOTA</t>
        </is>
      </c>
      <c r="G9" s="14" t="inlineStr">
        <is>
          <t>Ada check-in PENDING</t>
        </is>
      </c>
      <c r="H9" s="14" t="inlineStr">
        <is>
          <t>1. Pembina: Tolak check-in
2. Login Anggota
3. Buka event yang sama
4. Kirim check-in lagi dengan foto baru</t>
        </is>
      </c>
      <c r="I9" s="14" t="inlineStr">
        <is>
          <t>Setelah ditolak, form check-in tersedia lagi; submit ulang berhasil (pending baru)</t>
        </is>
      </c>
      <c r="J9" s="14" t="inlineStr">
        <is>
          <t>—</t>
        </is>
      </c>
      <c r="K9" s="30" t="inlineStr">
        <is>
          <t>Skip</t>
        </is>
      </c>
      <c r="L9" s="14" t="inlineStr">
        <is>
          <t>skip: butuh siklus reject terpisah; approve sudah di EVT-04</t>
        </is>
      </c>
      <c r="M9" s="14" t="inlineStr">
        <is>
          <t>Cursor Agent</t>
        </is>
      </c>
      <c r="N9" s="14" t="inlineStr">
        <is>
          <t>2026-07-31</t>
        </is>
      </c>
    </row>
    <row r="10" ht="45" customHeight="1">
      <c r="A10" s="14" t="inlineStr">
        <is>
          <t>EVT-N01</t>
        </is>
      </c>
      <c r="B10" s="14" t="inlineStr">
        <is>
          <t>AGENDA</t>
        </is>
      </c>
      <c r="C10" s="14" t="inlineStr">
        <is>
          <t>Anggota/Pembina ditolak buat event</t>
        </is>
      </c>
      <c r="D10" s="17" t="inlineStr">
        <is>
          <t>Negatif</t>
        </is>
      </c>
      <c r="E10" s="32" t="inlineStr">
        <is>
          <t>P1</t>
        </is>
      </c>
      <c r="F10" s="14" t="inlineStr">
        <is>
          <t>ANGGOTA, PEMBINA</t>
        </is>
      </c>
      <c r="G10" s="14" t="inlineStr">
        <is>
          <t>Login role terkait</t>
        </is>
      </c>
      <c r="H10" s="14" t="inlineStr">
        <is>
          <t>1. Pastikan tombol Tambah tidak ada di Agenda
2. Akses langsung /events/new</t>
        </is>
      </c>
      <c r="I10" s="14" t="inlineStr">
        <is>
          <t>Redirect /dashboard atau akses ditolak</t>
        </is>
      </c>
      <c r="J10" s="14" t="inlineStr">
        <is>
          <t>—</t>
        </is>
      </c>
      <c r="K10" s="29" t="inlineStr">
        <is>
          <t>Pass</t>
        </is>
      </c>
      <c r="L10" s="14" t="inlineStr"/>
      <c r="M10" s="14" t="inlineStr">
        <is>
          <t>Cursor Agent</t>
        </is>
      </c>
      <c r="N10" s="14" t="inlineStr">
        <is>
          <t>2026-07-31</t>
        </is>
      </c>
    </row>
    <row r="11" ht="51" customHeight="1">
      <c r="A11" s="14" t="inlineStr">
        <is>
          <t>EVT-N02</t>
        </is>
      </c>
      <c r="B11" s="14" t="inlineStr">
        <is>
          <t>AGENDA</t>
        </is>
      </c>
      <c r="C11" s="14" t="inlineStr">
        <is>
          <t>Validasi level &amp; judul &amp; waktu event</t>
        </is>
      </c>
      <c r="D11" s="17" t="inlineStr">
        <is>
          <t>Negatif</t>
        </is>
      </c>
      <c r="E11" s="32" t="inlineStr">
        <is>
          <t>P1</t>
        </is>
      </c>
      <c r="F11" s="14" t="inlineStr">
        <is>
          <t>ADMIN</t>
        </is>
      </c>
      <c r="G11" s="14" t="inlineStr">
        <is>
          <t>/events/new</t>
        </is>
      </c>
      <c r="H11" s="14" t="inlineStr">
        <is>
          <t>1. Submit tanpa centang level → harus ditolak ("Pilih minimal satu level")
2. Judul 1 karakter → ditolak
3. End ≤ Start → ditolak</t>
        </is>
      </c>
      <c r="I11" s="14" t="inlineStr">
        <is>
          <t>Validasi FE/API menolak; event tidak dibuat</t>
        </is>
      </c>
      <c r="J11" s="14" t="inlineStr">
        <is>
          <t>Input invalid</t>
        </is>
      </c>
      <c r="K11" s="29" t="inlineStr">
        <is>
          <t>Pass</t>
        </is>
      </c>
      <c r="L11" s="14" t="inlineStr"/>
      <c r="M11" s="14" t="inlineStr">
        <is>
          <t>Cursor Agent</t>
        </is>
      </c>
      <c r="N11" s="14" t="inlineStr">
        <is>
          <t>2026-07-31</t>
        </is>
      </c>
    </row>
    <row r="12" ht="45" customHeight="1">
      <c r="A12" s="14" t="inlineStr">
        <is>
          <t>EVT-N03</t>
        </is>
      </c>
      <c r="B12" s="14" t="inlineStr">
        <is>
          <t>AGENDA</t>
        </is>
      </c>
      <c r="C12" s="14" t="inlineStr">
        <is>
          <t>Check-in tanpa foto / di luar window waktu</t>
        </is>
      </c>
      <c r="D12" s="17" t="inlineStr">
        <is>
          <t>Negatif</t>
        </is>
      </c>
      <c r="E12" s="32" t="inlineStr">
        <is>
          <t>P1</t>
        </is>
      </c>
      <c r="F12" s="14" t="inlineStr">
        <is>
          <t>ANGGOTA</t>
        </is>
      </c>
      <c r="G12" s="14" t="inlineStr">
        <is>
          <t>Event ongoing + event belum mulai / sudah berakhir</t>
        </is>
      </c>
      <c r="H12" s="14" t="inlineStr">
        <is>
          <t>1. Event ongoing: coba kirim tanpa foto
2. Event belum mulai / sudah berakhir: pastikan form check-in tidak muncul</t>
        </is>
      </c>
      <c r="I12" s="14" t="inlineStr">
        <is>
          <t>Tanpa foto → error wajib foto; di luar window → tidak bisa check-in</t>
        </is>
      </c>
      <c r="J12" s="14" t="inlineStr">
        <is>
          <t>—</t>
        </is>
      </c>
      <c r="K12" s="29" t="inlineStr">
        <is>
          <t>Pass</t>
        </is>
      </c>
      <c r="L12" s="14" t="inlineStr"/>
      <c r="M12" s="14" t="inlineStr">
        <is>
          <t>Cursor Agent</t>
        </is>
      </c>
      <c r="N12" s="14" t="inlineStr">
        <is>
          <t>2026-07-31</t>
        </is>
      </c>
    </row>
    <row r="13" ht="45" customHeight="1">
      <c r="A13" s="14" t="inlineStr">
        <is>
          <t>EVT-N04</t>
        </is>
      </c>
      <c r="B13" s="14" t="inlineStr">
        <is>
          <t>AGENDA</t>
        </is>
      </c>
      <c r="C13" s="14" t="inlineStr">
        <is>
          <t>Double check-in APPROVED/PENDING ditolak</t>
        </is>
      </c>
      <c r="D13" s="17" t="inlineStr">
        <is>
          <t>Negatif</t>
        </is>
      </c>
      <c r="E13" s="32" t="inlineStr">
        <is>
          <t>P1</t>
        </is>
      </c>
      <c r="F13" s="14" t="inlineStr">
        <is>
          <t>ANGGOTA</t>
        </is>
      </c>
      <c r="G13" s="14" t="inlineStr">
        <is>
          <t>Sudah punya check-in PENDING atau APPROVED</t>
        </is>
      </c>
      <c r="H13" s="14" t="inlineStr">
        <is>
          <t>1. Coba kirim check-in kedua pada event yang sama</t>
        </is>
      </c>
      <c r="I13" s="14" t="inlineStr">
        <is>
          <t>Error: sudah check-in event ini</t>
        </is>
      </c>
      <c r="J13" s="14" t="inlineStr">
        <is>
          <t>—</t>
        </is>
      </c>
      <c r="K13" s="29" t="inlineStr">
        <is>
          <t>Pass</t>
        </is>
      </c>
      <c r="L13" s="14" t="inlineStr"/>
      <c r="M13" s="14" t="inlineStr">
        <is>
          <t>Cursor Agent</t>
        </is>
      </c>
      <c r="N13" s="14" t="inlineStr">
        <is>
          <t>2026-07-31</t>
        </is>
      </c>
    </row>
    <row r="14" ht="51" customHeight="1">
      <c r="A14" s="14" t="inlineStr">
        <is>
          <t>EVT-N05</t>
        </is>
      </c>
      <c r="B14" s="14" t="inlineStr">
        <is>
          <t>AGENDA</t>
        </is>
      </c>
      <c r="C14" s="14" t="inlineStr">
        <is>
          <t>Visibility event sekolah/level lain</t>
        </is>
      </c>
      <c r="D14" s="17" t="inlineStr">
        <is>
          <t>Negatif</t>
        </is>
      </c>
      <c r="E14" s="32" t="inlineStr">
        <is>
          <t>P1</t>
        </is>
      </c>
      <c r="F14" s="14" t="inlineStr">
        <is>
          <t>ANGGOTA</t>
        </is>
      </c>
      <c r="G14" s="14" t="inlineStr">
        <is>
          <t>Ada event untuk sekolah/level lain</t>
        </is>
      </c>
      <c r="H14" s="14" t="inlineStr">
        <is>
          <t>1. Login anggota SMAN 1 level tertentu
2. Buka list Agenda
3. Pastikan event sekolah/level tidak eligible tidak tampil</t>
        </is>
      </c>
      <c r="I14" s="14" t="inlineStr">
        <is>
          <t>Hanya event published + endAt≥now + school/level match yang terlihat</t>
        </is>
      </c>
      <c r="J14" s="14" t="inlineStr">
        <is>
          <t>—</t>
        </is>
      </c>
      <c r="K14" s="29" t="inlineStr">
        <is>
          <t>Pass</t>
        </is>
      </c>
      <c r="L14" s="14" t="inlineStr"/>
      <c r="M14" s="14" t="inlineStr">
        <is>
          <t>Cursor Agent</t>
        </is>
      </c>
      <c r="N14" s="14" t="inlineStr">
        <is>
          <t>2026-07-31</t>
        </is>
      </c>
    </row>
    <row r="15" ht="73" customHeight="1">
      <c r="A15" s="14" t="inlineStr">
        <is>
          <t>MAT-01</t>
        </is>
      </c>
      <c r="B15" s="14" t="inlineStr">
        <is>
          <t>MATERI</t>
        </is>
      </c>
      <c r="C15" s="14" t="inlineStr">
        <is>
          <t>SA/Admin publikasikan materi (file/link/tulis)</t>
        </is>
      </c>
      <c r="D15" s="15" t="inlineStr">
        <is>
          <t>Happy</t>
        </is>
      </c>
      <c r="E15" s="32" t="inlineStr">
        <is>
          <t>P1</t>
        </is>
      </c>
      <c r="F15" s="14" t="inlineStr">
        <is>
          <t>SUPERADMIN / ADMIN</t>
        </is>
      </c>
      <c r="G15" s="14" t="inlineStr">
        <is>
          <t>Login SA/Admin</t>
        </is>
      </c>
      <c r="H15" s="14" t="inlineStr">
        <is>
          <t>1. Buka Materi (/materi) → Tambah
2. Isi Judul, Ringkasan (opsional), Pekan (Senin), level target
3. Pilih jenis: Upload file / Link / Tulis langsung
4. Lengkapi konten sesuai jenis
5. Klik Publikasikan materi</t>
        </is>
      </c>
      <c r="I15" s="14" t="inlineStr">
        <is>
          <t>Materi muncul di list; detail menampilkan konten sesuai tipe</t>
        </is>
      </c>
      <c r="J15" s="14" t="inlineStr">
        <is>
          <t>FILE: PDF kecil; LINK: URL valid; RICH_TEXT: paragraf singkat</t>
        </is>
      </c>
      <c r="K15" s="29" t="inlineStr">
        <is>
          <t>Pass</t>
        </is>
      </c>
      <c r="L15" s="14" t="inlineStr"/>
      <c r="M15" s="14" t="inlineStr">
        <is>
          <t>Cursor Agent</t>
        </is>
      </c>
      <c r="N15" s="14" t="inlineStr">
        <is>
          <t>2026-07-31</t>
        </is>
      </c>
    </row>
    <row r="16" ht="62" customHeight="1">
      <c r="A16" s="14" t="inlineStr">
        <is>
          <t>MAT-02</t>
        </is>
      </c>
      <c r="B16" s="14" t="inlineStr">
        <is>
          <t>MATERI</t>
        </is>
      </c>
      <c r="C16" s="14" t="inlineStr">
        <is>
          <t>Buka detail materi per tipe konten</t>
        </is>
      </c>
      <c r="D16" s="15" t="inlineStr">
        <is>
          <t>Happy</t>
        </is>
      </c>
      <c r="E16" s="32" t="inlineStr">
        <is>
          <t>P1</t>
        </is>
      </c>
      <c r="F16" s="14" t="inlineStr">
        <is>
          <t>PJ / PEMBINA / ADMIN</t>
        </is>
      </c>
      <c r="G16" s="14" t="inlineStr">
        <is>
          <t>Ada materi FILE, LINK, RICH_TEXT</t>
        </is>
      </c>
      <c r="H16" s="14" t="inlineStr">
        <is>
          <t>1. Buka list Materi
2. Buka detail LINK → tombol Buka materi
3. Detail FILE → unduh/lihat
4. Detail RICH_TEXT → konten ter-render</t>
        </is>
      </c>
      <c r="I16" s="14" t="inlineStr">
        <is>
          <t>Tiap tipe menampilkan aksi/konten yang benar; tidak blank</t>
        </is>
      </c>
      <c r="J16" s="14" t="inlineStr">
        <is>
          <t>Materi dari MAT-01</t>
        </is>
      </c>
      <c r="K16" s="29" t="inlineStr">
        <is>
          <t>Pass</t>
        </is>
      </c>
      <c r="L16" s="14" t="inlineStr"/>
      <c r="M16" s="14" t="inlineStr">
        <is>
          <t>Cursor Agent</t>
        </is>
      </c>
      <c r="N16" s="14" t="inlineStr">
        <is>
          <t>2026-07-31</t>
        </is>
      </c>
    </row>
    <row r="17" ht="62" customHeight="1">
      <c r="A17" s="14" t="inlineStr">
        <is>
          <t>MAT-03</t>
        </is>
      </c>
      <c r="B17" s="14" t="inlineStr">
        <is>
          <t>MATERI</t>
        </is>
      </c>
      <c r="C17" s="14" t="inlineStr">
        <is>
          <t>PJ/Pembina baca list tanpa tombol Tambah</t>
        </is>
      </c>
      <c r="D17" s="18" t="inlineStr">
        <is>
          <t>Smoke</t>
        </is>
      </c>
      <c r="E17" s="32" t="inlineStr">
        <is>
          <t>P1</t>
        </is>
      </c>
      <c r="F17" s="14" t="inlineStr">
        <is>
          <t>PJ_SEKOLAH, PEMBINA</t>
        </is>
      </c>
      <c r="G17" s="14" t="inlineStr">
        <is>
          <t>Login role terkait</t>
        </is>
      </c>
      <c r="H17" s="14" t="inlineStr">
        <is>
          <t>1. Buka /materi
2. Pastikan list load
3. Pastikan tombol Tambah tidak ada
4. Buka satu detail</t>
        </is>
      </c>
      <c r="I17" s="14" t="inlineStr">
        <is>
          <t>Bisa baca; tidak bisa create via UI</t>
        </is>
      </c>
      <c r="J17" s="14" t="inlineStr">
        <is>
          <t>—</t>
        </is>
      </c>
      <c r="K17" s="29" t="inlineStr">
        <is>
          <t>Pass</t>
        </is>
      </c>
      <c r="L17" s="14" t="inlineStr"/>
      <c r="M17" s="14" t="inlineStr">
        <is>
          <t>Cursor Agent</t>
        </is>
      </c>
      <c r="N17" s="14" t="inlineStr">
        <is>
          <t>2026-07-31</t>
        </is>
      </c>
    </row>
    <row r="18" ht="45" customHeight="1">
      <c r="A18" s="14" t="inlineStr">
        <is>
          <t>MAT-N01</t>
        </is>
      </c>
      <c r="B18" s="14" t="inlineStr">
        <is>
          <t>MATERI</t>
        </is>
      </c>
      <c r="C18" s="14" t="inlineStr">
        <is>
          <t>Non-admin ditolak buat materi</t>
        </is>
      </c>
      <c r="D18" s="17" t="inlineStr">
        <is>
          <t>Negatif</t>
        </is>
      </c>
      <c r="E18" s="32" t="inlineStr">
        <is>
          <t>P1</t>
        </is>
      </c>
      <c r="F18" s="14" t="inlineStr">
        <is>
          <t>PJ, PEMBINA, ANGGOTA</t>
        </is>
      </c>
      <c r="G18" s="14" t="inlineStr">
        <is>
          <t>Login role terkait</t>
        </is>
      </c>
      <c r="H18" s="14" t="inlineStr">
        <is>
          <t>1. Akses /materi/new via URL</t>
        </is>
      </c>
      <c r="I18" s="14" t="inlineStr">
        <is>
          <t>Redirect /dashboard</t>
        </is>
      </c>
      <c r="J18" s="14" t="inlineStr">
        <is>
          <t>—</t>
        </is>
      </c>
      <c r="K18" s="29" t="inlineStr">
        <is>
          <t>Pass</t>
        </is>
      </c>
      <c r="L18" s="14" t="inlineStr"/>
      <c r="M18" s="14" t="inlineStr">
        <is>
          <t>Cursor Agent</t>
        </is>
      </c>
      <c r="N18" s="14" t="inlineStr">
        <is>
          <t>2026-07-31</t>
        </is>
      </c>
    </row>
    <row r="19" ht="51" customHeight="1">
      <c r="A19" s="14" t="inlineStr">
        <is>
          <t>MAT-N02</t>
        </is>
      </c>
      <c r="B19" s="14" t="inlineStr">
        <is>
          <t>MATERI</t>
        </is>
      </c>
      <c r="C19" s="14" t="inlineStr">
        <is>
          <t>Validasi level &amp; konten wajib</t>
        </is>
      </c>
      <c r="D19" s="17" t="inlineStr">
        <is>
          <t>Negatif</t>
        </is>
      </c>
      <c r="E19" s="32" t="inlineStr">
        <is>
          <t>P1</t>
        </is>
      </c>
      <c r="F19" s="14" t="inlineStr">
        <is>
          <t>ADMIN</t>
        </is>
      </c>
      <c r="G19" s="14" t="inlineStr">
        <is>
          <t>/materi/new</t>
        </is>
      </c>
      <c r="H19" s="14" t="inlineStr">
        <is>
          <t>1. Submit tanpa level
2. Tipe LINK tanpa URL
3. Tipe FILE tanpa file</t>
        </is>
      </c>
      <c r="I19" s="14" t="inlineStr">
        <is>
          <t>Validasi menolak; materi tidak terbit</t>
        </is>
      </c>
      <c r="J19" s="14" t="inlineStr">
        <is>
          <t>—</t>
        </is>
      </c>
      <c r="K19" s="29" t="inlineStr">
        <is>
          <t>Pass</t>
        </is>
      </c>
      <c r="L19" s="14" t="inlineStr"/>
      <c r="M19" s="14" t="inlineStr">
        <is>
          <t>Cursor Agent</t>
        </is>
      </c>
      <c r="N19" s="14" t="inlineStr">
        <is>
          <t>2026-07-31</t>
        </is>
      </c>
    </row>
    <row r="20" ht="45" customHeight="1">
      <c r="A20" s="14" t="inlineStr">
        <is>
          <t>MAT-N03</t>
        </is>
      </c>
      <c r="B20" s="14" t="inlineStr">
        <is>
          <t>MATERI</t>
        </is>
      </c>
      <c r="C20" s="14" t="inlineStr">
        <is>
          <t>Anggota tidak punya menu Materi</t>
        </is>
      </c>
      <c r="D20" s="17" t="inlineStr">
        <is>
          <t>Negatif</t>
        </is>
      </c>
      <c r="E20" s="32" t="inlineStr">
        <is>
          <t>P1</t>
        </is>
      </c>
      <c r="F20" s="14" t="inlineStr">
        <is>
          <t>ANGGOTA</t>
        </is>
      </c>
      <c r="G20" s="14" t="inlineStr">
        <is>
          <t>Login Anggota</t>
        </is>
      </c>
      <c r="H20" s="14" t="inlineStr">
        <is>
          <t>1. Cek sidebar — Materi tidak ada
2. Opsional: akses /materi via URL (catat perilaku)</t>
        </is>
      </c>
      <c r="I20" s="14" t="inlineStr">
        <is>
          <t>Tidak di nav; jika URL dibuka, sesuai RoleGuard/API (catat hasil)</t>
        </is>
      </c>
      <c r="J20" s="14" t="inlineStr">
        <is>
          <t>—</t>
        </is>
      </c>
      <c r="K20" s="29" t="inlineStr">
        <is>
          <t>Pass</t>
        </is>
      </c>
      <c r="L20" s="14" t="inlineStr"/>
      <c r="M20" s="14" t="inlineStr">
        <is>
          <t>Cursor Agent</t>
        </is>
      </c>
      <c r="N20" s="14" t="inlineStr">
        <is>
          <t>2026-07-31</t>
        </is>
      </c>
    </row>
    <row r="21" ht="62" customHeight="1">
      <c r="A21" s="14" t="inlineStr">
        <is>
          <t>ANL-01</t>
        </is>
      </c>
      <c r="B21" s="14" t="inlineStr">
        <is>
          <t>ANALITIK</t>
        </is>
      </c>
      <c r="C21" s="14" t="inlineStr">
        <is>
          <t>SA/Admin lihat Analitik Depok</t>
        </is>
      </c>
      <c r="D21" s="15" t="inlineStr">
        <is>
          <t>Happy</t>
        </is>
      </c>
      <c r="E21" s="32" t="inlineStr">
        <is>
          <t>P1</t>
        </is>
      </c>
      <c r="F21" s="14" t="inlineStr">
        <is>
          <t>SUPERADMIN / ADMIN</t>
        </is>
      </c>
      <c r="G21" s="14" t="inlineStr">
        <is>
          <t>Login SA/Admin; ada data seed</t>
        </is>
      </c>
      <c r="H21" s="14" t="inlineStr">
        <is>
          <t>1. Buka Analitik (/analytics)
2. Verifikasi kartu: Sekolah, Kelompok, Pembina, Anggota, submit rate
3. Cek panel gender/level breakdown
4. Cek tren kehadiran (jika ada)</t>
        </is>
      </c>
      <c r="I21" s="14" t="inlineStr">
        <is>
          <t>Dashboard analitik terisi; tidak blank/crash</t>
        </is>
      </c>
      <c r="J21" s="14" t="inlineStr">
        <is>
          <t>—</t>
        </is>
      </c>
      <c r="K21" s="29" t="inlineStr">
        <is>
          <t>Pass</t>
        </is>
      </c>
      <c r="L21" s="14" t="inlineStr"/>
      <c r="M21" s="14" t="inlineStr">
        <is>
          <t>Cursor Agent</t>
        </is>
      </c>
      <c r="N21" s="14" t="inlineStr">
        <is>
          <t>2026-07-31</t>
        </is>
      </c>
    </row>
    <row r="22" ht="51" customHeight="1">
      <c r="A22" s="14" t="inlineStr">
        <is>
          <t>ANL-02</t>
        </is>
      </c>
      <c r="B22" s="14" t="inlineStr">
        <is>
          <t>ANALITIK</t>
        </is>
      </c>
      <c r="C22" s="14" t="inlineStr">
        <is>
          <t>PJ lihat Analitik sekolah (scope)</t>
        </is>
      </c>
      <c r="D22" s="15" t="inlineStr">
        <is>
          <t>Happy</t>
        </is>
      </c>
      <c r="E22" s="32" t="inlineStr">
        <is>
          <t>P1</t>
        </is>
      </c>
      <c r="F22" s="14" t="inlineStr">
        <is>
          <t>PJ_SEKOLAH</t>
        </is>
      </c>
      <c r="G22" s="14" t="inlineStr">
        <is>
          <t>Login PJ</t>
        </is>
      </c>
      <c r="H22" s="14" t="inlineStr">
        <is>
          <t>1. Buka Analitik
2. Pastikan judul/konteks sekolah (bukan kota global)
3. Angka sesuai sekolah assign saja</t>
        </is>
      </c>
      <c r="I22" s="14" t="inlineStr">
        <is>
          <t>Data scoped ke sekolah PJ</t>
        </is>
      </c>
      <c r="J22" s="14" t="inlineStr">
        <is>
          <t>SMAN 1</t>
        </is>
      </c>
      <c r="K22" s="29" t="inlineStr">
        <is>
          <t>Pass</t>
        </is>
      </c>
      <c r="L22" s="14" t="inlineStr"/>
      <c r="M22" s="14" t="inlineStr">
        <is>
          <t>Cursor Agent</t>
        </is>
      </c>
      <c r="N22" s="14" t="inlineStr">
        <is>
          <t>2026-07-31</t>
        </is>
      </c>
    </row>
    <row r="23" ht="45" customHeight="1">
      <c r="A23" s="14" t="inlineStr">
        <is>
          <t>ANL-N01</t>
        </is>
      </c>
      <c r="B23" s="14" t="inlineStr">
        <is>
          <t>ANALITIK</t>
        </is>
      </c>
      <c r="C23" s="14" t="inlineStr">
        <is>
          <t>Pembina/Anggota ditolak Analitik</t>
        </is>
      </c>
      <c r="D23" s="17" t="inlineStr">
        <is>
          <t>Negatif</t>
        </is>
      </c>
      <c r="E23" s="32" t="inlineStr">
        <is>
          <t>P1</t>
        </is>
      </c>
      <c r="F23" s="14" t="inlineStr">
        <is>
          <t>PEMBINA, ANGGOTA</t>
        </is>
      </c>
      <c r="G23" s="14" t="inlineStr">
        <is>
          <t>Login role terkait</t>
        </is>
      </c>
      <c r="H23" s="14" t="inlineStr">
        <is>
          <t>1. Pastikan menu Analitik tidak ada
2. Akses /analytics via URL</t>
        </is>
      </c>
      <c r="I23" s="14" t="inlineStr">
        <is>
          <t>Redirect /dashboard</t>
        </is>
      </c>
      <c r="J23" s="14" t="inlineStr">
        <is>
          <t>—</t>
        </is>
      </c>
      <c r="K23" s="29" t="inlineStr">
        <is>
          <t>Pass</t>
        </is>
      </c>
      <c r="L23" s="14" t="inlineStr"/>
      <c r="M23" s="14" t="inlineStr">
        <is>
          <t>Cursor Agent</t>
        </is>
      </c>
      <c r="N23" s="14" t="inlineStr">
        <is>
          <t>2026-07-31</t>
        </is>
      </c>
    </row>
    <row r="24" ht="73" customHeight="1">
      <c r="A24" s="14" t="inlineStr">
        <is>
          <t>MUT-01</t>
        </is>
      </c>
      <c r="B24" s="14" t="inlineStr">
        <is>
          <t>MUTABAAH</t>
        </is>
      </c>
      <c r="C24" s="14" t="inlineStr">
        <is>
          <t>Anggota simpan draft mutabaah pekan</t>
        </is>
      </c>
      <c r="D24" s="15" t="inlineStr">
        <is>
          <t>Happy</t>
        </is>
      </c>
      <c r="E24" s="32" t="inlineStr">
        <is>
          <t>P1</t>
        </is>
      </c>
      <c r="F24" s="14" t="inlineStr">
        <is>
          <t>ANGGOTA</t>
        </is>
      </c>
      <c r="G24" s="14" t="inlineStr">
        <is>
          <t>Login Anggota; master mutabaah sudah ada (seed/config)</t>
        </is>
      </c>
      <c r="H24" s="14" t="inlineStr">
        <is>
          <t>1. Buka Mutabaah (/mutabaah)
2. Pilih Pekan (Senin)
3. Jika multi-kelompok, pilih Kelompok
4. Isi beberapa field
5. Simpan draft</t>
        </is>
      </c>
      <c r="I24" s="14" t="inlineStr">
        <is>
          <t>Draft tersimpan; bisa dibuka lagi di pekan yang sama</t>
        </is>
      </c>
      <c r="J24" s="14" t="inlineStr">
        <is>
          <t>Pekan ≥ tanggal bergabung</t>
        </is>
      </c>
      <c r="K24" s="29" t="inlineStr">
        <is>
          <t>Pass</t>
        </is>
      </c>
      <c r="L24" s="14" t="inlineStr"/>
      <c r="M24" s="14" t="inlineStr">
        <is>
          <t>Cursor Agent</t>
        </is>
      </c>
      <c r="N24" s="14" t="inlineStr">
        <is>
          <t>2026-07-31</t>
        </is>
      </c>
    </row>
    <row r="25" ht="62" customHeight="1">
      <c r="A25" s="14" t="inlineStr">
        <is>
          <t>MUT-02</t>
        </is>
      </c>
      <c r="B25" s="14" t="inlineStr">
        <is>
          <t>MUTABAAH</t>
        </is>
      </c>
      <c r="C25" s="14" t="inlineStr">
        <is>
          <t>Anggota kirim mutabaah → +2 poin</t>
        </is>
      </c>
      <c r="D25" s="15" t="inlineStr">
        <is>
          <t>Happy</t>
        </is>
      </c>
      <c r="E25" s="32" t="inlineStr">
        <is>
          <t>P1</t>
        </is>
      </c>
      <c r="F25" s="14" t="inlineStr">
        <is>
          <t>ANGGOTA</t>
        </is>
      </c>
      <c r="G25" s="14" t="inlineStr">
        <is>
          <t>Draft siap / form terisi</t>
        </is>
      </c>
      <c r="H25" s="14" t="inlineStr">
        <is>
          <t>1. Lengkapi field wajib
2. Klik Kirim mutabaah
3. Amati banner sudah dikirim
4. Cek poin bertambah +2</t>
        </is>
      </c>
      <c r="I25" s="14" t="inlineStr">
        <is>
          <t>Submitted; field disabled; poin +2</t>
        </is>
      </c>
      <c r="J25" s="14" t="inlineStr">
        <is>
          <t>Pekan yang belum di-submit</t>
        </is>
      </c>
      <c r="K25" s="30" t="inlineStr">
        <is>
          <t>Skip</t>
        </is>
      </c>
      <c r="L25" s="14" t="inlineStr">
        <is>
          <t>skip: tombol kirim tidak ada (sudah submit / master kosong)</t>
        </is>
      </c>
      <c r="M25" s="14" t="inlineStr">
        <is>
          <t>Cursor Agent</t>
        </is>
      </c>
      <c r="N25" s="14" t="inlineStr">
        <is>
          <t>2026-07-31</t>
        </is>
      </c>
    </row>
    <row r="26" ht="51" customHeight="1">
      <c r="A26" s="14" t="inlineStr">
        <is>
          <t>MUT-03</t>
        </is>
      </c>
      <c r="B26" s="14" t="inlineStr">
        <is>
          <t>MUTABAAH</t>
        </is>
      </c>
      <c r="C26" s="14" t="inlineStr">
        <is>
          <t>Pembina lihat mutabaah anggota (read-only)</t>
        </is>
      </c>
      <c r="D26" s="15" t="inlineStr">
        <is>
          <t>Happy</t>
        </is>
      </c>
      <c r="E26" s="32" t="inlineStr">
        <is>
          <t>P1</t>
        </is>
      </c>
      <c r="F26" s="14" t="inlineStr">
        <is>
          <t>PEMBINA</t>
        </is>
      </c>
      <c r="G26" s="14" t="inlineStr">
        <is>
          <t>Anggota sudah isi mutabaah</t>
        </is>
      </c>
      <c r="H26" s="14" t="inlineStr">
        <is>
          <t>1. Login Pembina
2. Buka detail kelompok → detail anggota
3. Buka panel/section Mutabaah per pekan</t>
        </is>
      </c>
      <c r="I26" s="14" t="inlineStr">
        <is>
          <t>Data mutabaah tampil read-only; tidak bisa edit sebagai pembina di panel ini</t>
        </is>
      </c>
      <c r="J26" s="14" t="inlineStr">
        <is>
          <t>—</t>
        </is>
      </c>
      <c r="K26" s="29" t="inlineStr">
        <is>
          <t>Pass</t>
        </is>
      </c>
      <c r="L26" s="14" t="inlineStr"/>
      <c r="M26" s="14" t="inlineStr">
        <is>
          <t>Cursor Agent</t>
        </is>
      </c>
      <c r="N26" s="14" t="inlineStr">
        <is>
          <t>2026-07-31</t>
        </is>
      </c>
    </row>
    <row r="27" ht="45" customHeight="1">
      <c r="A27" s="14" t="inlineStr">
        <is>
          <t>MUT-N01</t>
        </is>
      </c>
      <c r="B27" s="14" t="inlineStr">
        <is>
          <t>MUTABAAH</t>
        </is>
      </c>
      <c r="C27" s="14" t="inlineStr">
        <is>
          <t>Non-anggota ditolak /mutabaah</t>
        </is>
      </c>
      <c r="D27" s="17" t="inlineStr">
        <is>
          <t>Negatif</t>
        </is>
      </c>
      <c r="E27" s="32" t="inlineStr">
        <is>
          <t>P1</t>
        </is>
      </c>
      <c r="F27" s="14" t="inlineStr">
        <is>
          <t>PEMBINA, ADMIN, PJ</t>
        </is>
      </c>
      <c r="G27" s="14" t="inlineStr">
        <is>
          <t>Login role terkait</t>
        </is>
      </c>
      <c r="H27" s="14" t="inlineStr">
        <is>
          <t>1. Pastikan Mutabaah tidak di sidebar
2. Akses /mutabaah</t>
        </is>
      </c>
      <c r="I27" s="14" t="inlineStr">
        <is>
          <t>Redirect /dashboard</t>
        </is>
      </c>
      <c r="J27" s="14" t="inlineStr">
        <is>
          <t>—</t>
        </is>
      </c>
      <c r="K27" s="29" t="inlineStr">
        <is>
          <t>Pass</t>
        </is>
      </c>
      <c r="L27" s="14" t="inlineStr"/>
      <c r="M27" s="14" t="inlineStr">
        <is>
          <t>Cursor Agent</t>
        </is>
      </c>
      <c r="N27" s="14" t="inlineStr">
        <is>
          <t>2026-07-31</t>
        </is>
      </c>
    </row>
    <row r="28" ht="45" customHeight="1">
      <c r="A28" s="14" t="inlineStr">
        <is>
          <t>MUT-N02</t>
        </is>
      </c>
      <c r="B28" s="14" t="inlineStr">
        <is>
          <t>MUTABAAH</t>
        </is>
      </c>
      <c r="C28" s="14" t="inlineStr">
        <is>
          <t>Pekan sebelum bergabung / submit ulang</t>
        </is>
      </c>
      <c r="D28" s="17" t="inlineStr">
        <is>
          <t>Negatif</t>
        </is>
      </c>
      <c r="E28" s="32" t="inlineStr">
        <is>
          <t>P1</t>
        </is>
      </c>
      <c r="F28" s="14" t="inlineStr">
        <is>
          <t>ANGGOTA</t>
        </is>
      </c>
      <c r="G28" s="14" t="inlineStr">
        <is>
          <t>Sudah submit satu pekan</t>
        </is>
      </c>
      <c r="H28" s="14" t="inlineStr">
        <is>
          <t>1. Coba pilih pekan sebelum minWeekDate (bergabung) — harus diblok
2. Buka pekan sudah submit — field disabled; submit ulang gagal</t>
        </is>
      </c>
      <c r="I28" s="14" t="inlineStr">
        <is>
          <t>Validasi pekan &amp; submit sekali saja dihormati</t>
        </is>
      </c>
      <c r="J28" s="14" t="inlineStr">
        <is>
          <t>—</t>
        </is>
      </c>
      <c r="K28" s="30" t="inlineStr">
        <is>
          <t>Skip</t>
        </is>
      </c>
      <c r="L28" s="14" t="inlineStr">
        <is>
          <t>skip: tidak ada state submit ulang / pekan diblok yang terobservasi</t>
        </is>
      </c>
      <c r="M28" s="14" t="inlineStr">
        <is>
          <t>Cursor Agent</t>
        </is>
      </c>
      <c r="N28" s="14" t="inlineStr">
        <is>
          <t>2026-07-31</t>
        </is>
      </c>
    </row>
    <row r="29" ht="73" customHeight="1">
      <c r="A29" s="14" t="inlineStr">
        <is>
          <t>IC-01</t>
        </is>
      </c>
      <c r="B29" s="14" t="inlineStr">
        <is>
          <t>IC</t>
        </is>
      </c>
      <c r="C29" s="14" t="inlineStr">
        <is>
          <t>SA/Admin CRUD master Indikator Capaian</t>
        </is>
      </c>
      <c r="D29" s="15" t="inlineStr">
        <is>
          <t>Happy</t>
        </is>
      </c>
      <c r="E29" s="32" t="inlineStr">
        <is>
          <t>P1</t>
        </is>
      </c>
      <c r="F29" s="14" t="inlineStr">
        <is>
          <t>SUPERADMIN / ADMIN</t>
        </is>
      </c>
      <c r="G29" s="14" t="inlineStr">
        <is>
          <t>Login SA → Pengaturan → IC atau /config/ic</t>
        </is>
      </c>
      <c r="H29" s="14" t="inlineStr">
        <is>
          <t>1. Filter level/kategori jika ada
2. Tambah IC: Kategori, Tipe (Primer/Sekunder), Nomor, Indikator, Materi
3. Simpan
4. Edit satu item
5. Hapus item uji (bukan data kritis seed jika perlu)</t>
        </is>
      </c>
      <c r="I29" s="14" t="inlineStr">
        <is>
          <t>CRUD master sukses; list ter-update</t>
        </is>
      </c>
      <c r="J29" s="14" t="inlineStr">
        <is>
          <t>Nomor/judul unik uji</t>
        </is>
      </c>
      <c r="K29" s="29" t="inlineStr">
        <is>
          <t>Pass</t>
        </is>
      </c>
      <c r="L29" s="14" t="inlineStr"/>
      <c r="M29" s="14" t="inlineStr">
        <is>
          <t>Cursor Agent</t>
        </is>
      </c>
      <c r="N29" s="14" t="inlineStr">
        <is>
          <t>2026-07-31</t>
        </is>
      </c>
    </row>
    <row r="30" ht="51" customHeight="1">
      <c r="A30" s="14" t="inlineStr">
        <is>
          <t>IC-02</t>
        </is>
      </c>
      <c r="B30" s="14" t="inlineStr">
        <is>
          <t>IC</t>
        </is>
      </c>
      <c r="C30" s="14" t="inlineStr">
        <is>
          <t>PJ/Pembina baca master IC (view only)</t>
        </is>
      </c>
      <c r="D30" s="18" t="inlineStr">
        <is>
          <t>Smoke</t>
        </is>
      </c>
      <c r="E30" s="32" t="inlineStr">
        <is>
          <t>P1</t>
        </is>
      </c>
      <c r="F30" s="14" t="inlineStr">
        <is>
          <t>PJ_SEKOLAH, PEMBINA</t>
        </is>
      </c>
      <c r="G30" s="14" t="inlineStr">
        <is>
          <t>Login → menu Indikator Capaian</t>
        </is>
      </c>
      <c r="H30" s="14" t="inlineStr">
        <is>
          <t>1. Buka /config/ic
2. Pastikan list IC tampil
3. Pastikan form Tambah/Edit tidak tersedia (atau disabled)</t>
        </is>
      </c>
      <c r="I30" s="14" t="inlineStr">
        <is>
          <t>View only; tidak bisa mengubah master</t>
        </is>
      </c>
      <c r="J30" s="14" t="inlineStr">
        <is>
          <t>—</t>
        </is>
      </c>
      <c r="K30" s="29" t="inlineStr">
        <is>
          <t>Pass</t>
        </is>
      </c>
      <c r="L30" s="14" t="inlineStr"/>
      <c r="M30" s="14" t="inlineStr">
        <is>
          <t>Cursor Agent</t>
        </is>
      </c>
      <c r="N30" s="14" t="inlineStr">
        <is>
          <t>2026-07-31</t>
        </is>
      </c>
    </row>
    <row r="31" ht="62" customHeight="1">
      <c r="A31" s="14" t="inlineStr">
        <is>
          <t>IC-03</t>
        </is>
      </c>
      <c r="B31" s="14" t="inlineStr">
        <is>
          <t>IC</t>
        </is>
      </c>
      <c r="C31" s="14" t="inlineStr">
        <is>
          <t>Pembina centang progress IC anggota</t>
        </is>
      </c>
      <c r="D31" s="15" t="inlineStr">
        <is>
          <t>Happy</t>
        </is>
      </c>
      <c r="E31" s="32" t="inlineStr">
        <is>
          <t>P1</t>
        </is>
      </c>
      <c r="F31" s="14" t="inlineStr">
        <is>
          <t>PEMBINA</t>
        </is>
      </c>
      <c r="G31" s="14" t="inlineStr">
        <is>
          <t>Login pembina; buka detail anggota kelompoknya</t>
        </is>
      </c>
      <c r="H31" s="14" t="inlineStr">
        <is>
          <t>1. Expand kategori IC
2. Toggle indikator tercapai
3. Amati toast Progress IC diperbarui
4. Cek ringkasan X/Y %</t>
        </is>
      </c>
      <c r="I31" s="14" t="inlineStr">
        <is>
          <t>Progress tersimpan; persentase update</t>
        </is>
      </c>
      <c r="J31" s="14" t="inlineStr">
        <is>
          <t>Anggota dengan level yang punya IC</t>
        </is>
      </c>
      <c r="K31" s="29" t="inlineStr">
        <is>
          <t>Pass</t>
        </is>
      </c>
      <c r="L31" s="14" t="inlineStr"/>
      <c r="M31" s="14" t="inlineStr">
        <is>
          <t>Cursor Agent</t>
        </is>
      </c>
      <c r="N31" s="14" t="inlineStr">
        <is>
          <t>2026-07-31</t>
        </is>
      </c>
    </row>
    <row r="32" ht="51" customHeight="1">
      <c r="A32" s="14" t="inlineStr">
        <is>
          <t>IC-N01</t>
        </is>
      </c>
      <c r="B32" s="14" t="inlineStr">
        <is>
          <t>IC</t>
        </is>
      </c>
      <c r="C32" s="14" t="inlineStr">
        <is>
          <t>PJ/non-pembina tidak boleh edit progress/master</t>
        </is>
      </c>
      <c r="D32" s="17" t="inlineStr">
        <is>
          <t>Negatif</t>
        </is>
      </c>
      <c r="E32" s="32" t="inlineStr">
        <is>
          <t>P1</t>
        </is>
      </c>
      <c r="F32" s="14" t="inlineStr">
        <is>
          <t>PJ_SEKOLAH, ANGGOTA</t>
        </is>
      </c>
      <c r="G32" s="14" t="inlineStr">
        <is>
          <t>Login role terkait</t>
        </is>
      </c>
      <c r="H32" s="14" t="inlineStr">
        <is>
          <t>1. PJ: pastikan tidak bisa Tambah IC di master
2. Anggota: pastikan tidak melihat panel progress IC di UI-nya
3. (Opsional API) POST progress sebagai non-pembina → 403</t>
        </is>
      </c>
      <c r="I32" s="14" t="inlineStr">
        <is>
          <t>403 / UI tidak menyediakan aksi</t>
        </is>
      </c>
      <c r="J32" s="14" t="inlineStr">
        <is>
          <t>—</t>
        </is>
      </c>
      <c r="K32" s="29" t="inlineStr">
        <is>
          <t>Pass</t>
        </is>
      </c>
      <c r="L32" s="14" t="inlineStr"/>
      <c r="M32" s="14" t="inlineStr">
        <is>
          <t>Cursor Agent</t>
        </is>
      </c>
      <c r="N32" s="14" t="inlineStr">
        <is>
          <t>2026-07-31</t>
        </is>
      </c>
    </row>
    <row r="33" ht="45" customHeight="1">
      <c r="A33" s="14" t="inlineStr">
        <is>
          <t>IC-N02</t>
        </is>
      </c>
      <c r="B33" s="14" t="inlineStr">
        <is>
          <t>IC</t>
        </is>
      </c>
      <c r="C33" s="14" t="inlineStr">
        <is>
          <t>Validasi nomor/indikator wajib saat tambah IC</t>
        </is>
      </c>
      <c r="D33" s="17" t="inlineStr">
        <is>
          <t>Negatif</t>
        </is>
      </c>
      <c r="E33" s="32" t="inlineStr">
        <is>
          <t>P1</t>
        </is>
      </c>
      <c r="F33" s="14" t="inlineStr">
        <is>
          <t>SUPERADMIN</t>
        </is>
      </c>
      <c r="G33" s="14" t="inlineStr">
        <is>
          <t>/config/ic form tambah</t>
        </is>
      </c>
      <c r="H33" s="14" t="inlineStr">
        <is>
          <t>1. Submit tanpa nomor atau tanpa indikator</t>
        </is>
      </c>
      <c r="I33" s="14" t="inlineStr">
        <is>
          <t>Pesan validasi; item tidak dibuat</t>
        </is>
      </c>
      <c r="J33" s="14" t="inlineStr">
        <is>
          <t>—</t>
        </is>
      </c>
      <c r="K33" s="30" t="inlineStr">
        <is>
          <t>Skip</t>
        </is>
      </c>
      <c r="L33" s="14" t="inlineStr">
        <is>
          <t>skip: validasi form tambah IC kosong bergantung dialog UI penuh</t>
        </is>
      </c>
      <c r="M33" s="14" t="inlineStr">
        <is>
          <t>Cursor Agent</t>
        </is>
      </c>
      <c r="N33" s="14" t="inlineStr">
        <is>
          <t>2026-07-31</t>
        </is>
      </c>
    </row>
    <row r="34" ht="73" customHeight="1">
      <c r="A34" s="14" t="inlineStr">
        <is>
          <t>KKS-01</t>
        </is>
      </c>
      <c r="B34" s="14" t="inlineStr">
        <is>
          <t>KKS</t>
        </is>
      </c>
      <c r="C34" s="14" t="inlineStr">
        <is>
          <t>User kirim Keluhan/Kritik/Saran</t>
        </is>
      </c>
      <c r="D34" s="15" t="inlineStr">
        <is>
          <t>Happy</t>
        </is>
      </c>
      <c r="E34" s="32" t="inlineStr">
        <is>
          <t>P1</t>
        </is>
      </c>
      <c r="F34" s="14" t="inlineStr">
        <is>
          <t>ANGGOTA / PEMBINA / PJ</t>
        </is>
      </c>
      <c r="G34" s="14" t="inlineStr">
        <is>
          <t>Login salah satu role non-admin</t>
        </is>
      </c>
      <c r="H34" s="14" t="inlineStr">
        <is>
          <t>1. Buka KKS (/kks)
2. Pilih Jenis (Keluhan/Kritik/Saran)
3. Isi Subjek (≥3 karakter) &amp; Pesan (≥10 karakter)
4. Kirim
5. Pastikan muncul di riwayat sendiri</t>
        </is>
      </c>
      <c r="I34" s="14" t="inlineStr">
        <is>
          <t>KKS terkirim status Menunggu; muncul di list pengirim</t>
        </is>
      </c>
      <c r="J34" s="14" t="inlineStr">
        <is>
          <t>Subjek &amp; pesan valid</t>
        </is>
      </c>
      <c r="K34" s="29" t="inlineStr">
        <is>
          <t>Pass</t>
        </is>
      </c>
      <c r="L34" s="14" t="inlineStr"/>
      <c r="M34" s="14" t="inlineStr">
        <is>
          <t>Cursor Agent</t>
        </is>
      </c>
      <c r="N34" s="14" t="inlineStr">
        <is>
          <t>2026-07-31</t>
        </is>
      </c>
    </row>
    <row r="35" ht="84" customHeight="1">
      <c r="A35" s="14" t="inlineStr">
        <is>
          <t>KKS-02</t>
        </is>
      </c>
      <c r="B35" s="14" t="inlineStr">
        <is>
          <t>KKS</t>
        </is>
      </c>
      <c r="C35" s="14" t="inlineStr">
        <is>
          <t>SA/Admin kelola status &amp; catatan</t>
        </is>
      </c>
      <c r="D35" s="15" t="inlineStr">
        <is>
          <t>Happy</t>
        </is>
      </c>
      <c r="E35" s="32" t="inlineStr">
        <is>
          <t>P1</t>
        </is>
      </c>
      <c r="F35" s="14" t="inlineStr">
        <is>
          <t>SUPERADMIN / ADMIN</t>
        </is>
      </c>
      <c r="G35" s="14" t="inlineStr">
        <is>
          <t>Ada KKS PENDING dari KKS-01</t>
        </is>
      </c>
      <c r="H35" s="14" t="inlineStr">
        <is>
          <t>1. Buka KKS (kotak masuk)
2. Filter Menunggu
3. Buka detail
4. Isi Catatan Admin
5. Tandai Dibaca → Tandai Selesai
6. Opsional: Kembalikan ke Menunggu</t>
        </is>
      </c>
      <c r="I35" s="14" t="inlineStr">
        <is>
          <t>Status berubah; catatan tersimpan; pengirim bisa lihat tanggapan</t>
        </is>
      </c>
      <c r="J35" s="14" t="inlineStr">
        <is>
          <t>—</t>
        </is>
      </c>
      <c r="K35" s="29" t="inlineStr">
        <is>
          <t>Pass</t>
        </is>
      </c>
      <c r="L35" s="14" t="inlineStr"/>
      <c r="M35" s="14" t="inlineStr">
        <is>
          <t>Cursor Agent</t>
        </is>
      </c>
      <c r="N35" s="14" t="inlineStr">
        <is>
          <t>2026-07-31</t>
        </is>
      </c>
    </row>
    <row r="36" ht="51" customHeight="1">
      <c r="A36" s="14" t="inlineStr">
        <is>
          <t>KKS-03</t>
        </is>
      </c>
      <c r="B36" s="14" t="inlineStr">
        <is>
          <t>KKS</t>
        </is>
      </c>
      <c r="C36" s="14" t="inlineStr">
        <is>
          <t>Pengirim melihat tanggapan admin</t>
        </is>
      </c>
      <c r="D36" s="15" t="inlineStr">
        <is>
          <t>Happy</t>
        </is>
      </c>
      <c r="E36" s="32" t="inlineStr">
        <is>
          <t>P1</t>
        </is>
      </c>
      <c r="F36" s="14" t="inlineStr">
        <is>
          <t>Pengirim KKS-01</t>
        </is>
      </c>
      <c r="G36" s="14" t="inlineStr">
        <is>
          <t>Admin sudah isi catatan / ubah status</t>
        </is>
      </c>
      <c r="H36" s="14" t="inlineStr">
        <is>
          <t>1. Login sebagai pengirim
2. Buka detail KKS-nya
3. Verifikasi Tanggapan Admin &amp; status</t>
        </is>
      </c>
      <c r="I36" s="14" t="inlineStr">
        <is>
          <t>Tanggapan &amp; status terlihat</t>
        </is>
      </c>
      <c r="J36" s="14" t="inlineStr">
        <is>
          <t>—</t>
        </is>
      </c>
      <c r="K36" s="29" t="inlineStr">
        <is>
          <t>Pass</t>
        </is>
      </c>
      <c r="L36" s="14" t="inlineStr"/>
      <c r="M36" s="14" t="inlineStr">
        <is>
          <t>Cursor Agent</t>
        </is>
      </c>
      <c r="N36" s="14" t="inlineStr">
        <is>
          <t>2026-07-31</t>
        </is>
      </c>
    </row>
    <row r="37" ht="45" customHeight="1">
      <c r="A37" s="14" t="inlineStr">
        <is>
          <t>KKS-N01</t>
        </is>
      </c>
      <c r="B37" s="14" t="inlineStr">
        <is>
          <t>KKS</t>
        </is>
      </c>
      <c r="C37" s="14" t="inlineStr">
        <is>
          <t>Validasi subjek/pesan terlalu pendek</t>
        </is>
      </c>
      <c r="D37" s="17" t="inlineStr">
        <is>
          <t>Negatif</t>
        </is>
      </c>
      <c r="E37" s="32" t="inlineStr">
        <is>
          <t>P1</t>
        </is>
      </c>
      <c r="F37" s="14" t="inlineStr">
        <is>
          <t>ANGGOTA</t>
        </is>
      </c>
      <c r="G37" s="14" t="inlineStr">
        <is>
          <t>/kks form</t>
        </is>
      </c>
      <c r="H37" s="14" t="inlineStr">
        <is>
          <t>1. Subjek 2 karakter / pesan 5 karakter → submit</t>
        </is>
      </c>
      <c r="I37" s="14" t="inlineStr">
        <is>
          <t>Validasi Zod/FE menolak</t>
        </is>
      </c>
      <c r="J37" s="14" t="inlineStr">
        <is>
          <t>—</t>
        </is>
      </c>
      <c r="K37" s="29" t="inlineStr">
        <is>
          <t>Pass</t>
        </is>
      </c>
      <c r="L37" s="14" t="inlineStr"/>
      <c r="M37" s="14" t="inlineStr">
        <is>
          <t>Cursor Agent</t>
        </is>
      </c>
      <c r="N37" s="14" t="inlineStr">
        <is>
          <t>2026-07-31</t>
        </is>
      </c>
    </row>
    <row r="38" ht="45" customHeight="1">
      <c r="A38" s="14" t="inlineStr">
        <is>
          <t>KKS-N02</t>
        </is>
      </c>
      <c r="B38" s="14" t="inlineStr">
        <is>
          <t>KKS</t>
        </is>
      </c>
      <c r="C38" s="14" t="inlineStr">
        <is>
          <t>Non-admin tidak akses KKS orang lain / ubah status</t>
        </is>
      </c>
      <c r="D38" s="17" t="inlineStr">
        <is>
          <t>Negatif</t>
        </is>
      </c>
      <c r="E38" s="32" t="inlineStr">
        <is>
          <t>P1</t>
        </is>
      </c>
      <c r="F38" s="14" t="inlineStr">
        <is>
          <t>ANGGOTA</t>
        </is>
      </c>
      <c r="G38" s="14" t="inlineStr">
        <is>
          <t>Ketahu ID KKS milik user lain</t>
        </is>
      </c>
      <c r="H38" s="14" t="inlineStr">
        <is>
          <t>1. Coba buka /kks/:id milik orang lain
2. (API) PUT status → 403</t>
        </is>
      </c>
      <c r="I38" s="14" t="inlineStr">
        <is>
          <t>403 / tidak ditemukan</t>
        </is>
      </c>
      <c r="J38" s="14" t="inlineStr">
        <is>
          <t>—</t>
        </is>
      </c>
      <c r="K38" s="29" t="inlineStr">
        <is>
          <t>Pass</t>
        </is>
      </c>
      <c r="L38" s="14" t="inlineStr"/>
      <c r="M38" s="14" t="inlineStr">
        <is>
          <t>Cursor Agent</t>
        </is>
      </c>
      <c r="N38" s="14" t="inlineStr">
        <is>
          <t>2026-07-31</t>
        </is>
      </c>
    </row>
    <row r="39" ht="62" customHeight="1">
      <c r="A39" s="14" t="inlineStr">
        <is>
          <t>CFG-01</t>
        </is>
      </c>
      <c r="B39" s="14" t="inlineStr">
        <is>
          <t>CONFIG</t>
        </is>
      </c>
      <c r="C39" s="14" t="inlineStr">
        <is>
          <t>SA/Admin buka hub Pengaturan &amp; simpan label level</t>
        </is>
      </c>
      <c r="D39" s="15" t="inlineStr">
        <is>
          <t>Happy</t>
        </is>
      </c>
      <c r="E39" s="32" t="inlineStr">
        <is>
          <t>P1</t>
        </is>
      </c>
      <c r="F39" s="14" t="inlineStr">
        <is>
          <t>SUPERADMIN / ADMIN</t>
        </is>
      </c>
      <c r="G39" s="14" t="inlineStr">
        <is>
          <t>Login SA/Admin → Pengaturan</t>
        </is>
      </c>
      <c r="H39" s="14" t="inlineStr">
        <is>
          <t>1. Buka /config
2. Edit Label Level Kelompok jika ada
3. Simpan
4. Refresh — perubahan persist</t>
        </is>
      </c>
      <c r="I39" s="14" t="inlineStr">
        <is>
          <t>Pengaturan load; simpan sukses</t>
        </is>
      </c>
      <c r="J39" s="14" t="inlineStr">
        <is>
          <t>—</t>
        </is>
      </c>
      <c r="K39" s="29" t="inlineStr">
        <is>
          <t>Pass</t>
        </is>
      </c>
      <c r="L39" s="14" t="inlineStr"/>
      <c r="M39" s="14" t="inlineStr">
        <is>
          <t>Cursor Agent</t>
        </is>
      </c>
      <c r="N39" s="14" t="inlineStr">
        <is>
          <t>2026-07-31</t>
        </is>
      </c>
    </row>
    <row r="40" ht="73" customHeight="1">
      <c r="A40" s="14" t="inlineStr">
        <is>
          <t>CFG-02</t>
        </is>
      </c>
      <c r="B40" s="14" t="inlineStr">
        <is>
          <t>CONFIG</t>
        </is>
      </c>
      <c r="C40" s="14" t="inlineStr">
        <is>
          <t>Kelola master mutabaah</t>
        </is>
      </c>
      <c r="D40" s="15" t="inlineStr">
        <is>
          <t>Happy</t>
        </is>
      </c>
      <c r="E40" s="32" t="inlineStr">
        <is>
          <t>P1</t>
        </is>
      </c>
      <c r="F40" s="14" t="inlineStr">
        <is>
          <t>SUPERADMIN / ADMIN</t>
        </is>
      </c>
      <c r="G40" s="14" t="inlineStr">
        <is>
          <t>/config/mutabaah</t>
        </is>
      </c>
      <c r="H40" s="14" t="inlineStr">
        <is>
          <t>1. Pilih level
2. Tambah poin: Judul, Tipe input, Cakupan waktu, Wajib
3. Jika SELECT: isi minimal satu opsi
4. Simpan
5. Edit / hapus item uji</t>
        </is>
      </c>
      <c r="I40" s="14" t="inlineStr">
        <is>
          <t>Master mutabaah ter-update; anggota melihat field baru di pekan berikutnya</t>
        </is>
      </c>
      <c r="J40" s="14" t="inlineStr">
        <is>
          <t>Item uji non-kritis</t>
        </is>
      </c>
      <c r="K40" s="29" t="inlineStr">
        <is>
          <t>Pass</t>
        </is>
      </c>
      <c r="L40" s="14" t="inlineStr"/>
      <c r="M40" s="14" t="inlineStr">
        <is>
          <t>Cursor Agent</t>
        </is>
      </c>
      <c r="N40" s="14" t="inlineStr">
        <is>
          <t>2026-07-31</t>
        </is>
      </c>
    </row>
    <row r="41" ht="51" customHeight="1">
      <c r="A41" s="14" t="inlineStr">
        <is>
          <t>CFG-03</t>
        </is>
      </c>
      <c r="B41" s="14" t="inlineStr">
        <is>
          <t>CONFIG</t>
        </is>
      </c>
      <c r="C41" s="14" t="inlineStr">
        <is>
          <t>Link kelola IC dari Pengaturan</t>
        </is>
      </c>
      <c r="D41" s="18" t="inlineStr">
        <is>
          <t>Smoke</t>
        </is>
      </c>
      <c r="E41" s="32" t="inlineStr">
        <is>
          <t>P1</t>
        </is>
      </c>
      <c r="F41" s="14" t="inlineStr">
        <is>
          <t>SUPERADMIN</t>
        </is>
      </c>
      <c r="G41" s="14" t="inlineStr">
        <is>
          <t>/config</t>
        </is>
      </c>
      <c r="H41" s="14" t="inlineStr">
        <is>
          <t>1. Klik kelola indikator capaian
2. Landasan /config/ic
3. Konten tampil</t>
        </is>
      </c>
      <c r="I41" s="14" t="inlineStr">
        <is>
          <t>Navigasi config → IC lancar</t>
        </is>
      </c>
      <c r="J41" s="14" t="inlineStr">
        <is>
          <t>—</t>
        </is>
      </c>
      <c r="K41" s="29" t="inlineStr">
        <is>
          <t>Pass</t>
        </is>
      </c>
      <c r="L41" s="14" t="inlineStr"/>
      <c r="M41" s="14" t="inlineStr">
        <is>
          <t>Cursor Agent</t>
        </is>
      </c>
      <c r="N41" s="14" t="inlineStr">
        <is>
          <t>2026-07-31</t>
        </is>
      </c>
    </row>
    <row r="42" ht="45" customHeight="1">
      <c r="A42" s="14" t="inlineStr">
        <is>
          <t>CFG-N01</t>
        </is>
      </c>
      <c r="B42" s="14" t="inlineStr">
        <is>
          <t>CONFIG</t>
        </is>
      </c>
      <c r="C42" s="14" t="inlineStr">
        <is>
          <t>PJ/Pembina/Anggota ditolak /config &amp; mutabaah master</t>
        </is>
      </c>
      <c r="D42" s="17" t="inlineStr">
        <is>
          <t>Negatif</t>
        </is>
      </c>
      <c r="E42" s="32" t="inlineStr">
        <is>
          <t>P1</t>
        </is>
      </c>
      <c r="F42" s="14" t="inlineStr">
        <is>
          <t>PJ, PEMBINA, ANGGOTA</t>
        </is>
      </c>
      <c r="G42" s="14" t="inlineStr">
        <is>
          <t>Login role terkait</t>
        </is>
      </c>
      <c r="H42" s="14" t="inlineStr">
        <is>
          <t>1. Akses /config dan /config/mutabaah via URL
2. PJ/Pembina boleh /config/ic (view) — bedakan</t>
        </is>
      </c>
      <c r="I42" s="14" t="inlineStr">
        <is>
          <t>/config &amp; mutabaah → redirect; /config/ic view OK untuk PJ/Pembina</t>
        </is>
      </c>
      <c r="J42" s="14" t="inlineStr">
        <is>
          <t>—</t>
        </is>
      </c>
      <c r="K42" s="29" t="inlineStr">
        <is>
          <t>Pass</t>
        </is>
      </c>
      <c r="L42" s="14" t="inlineStr"/>
      <c r="M42" s="14" t="inlineStr">
        <is>
          <t>Cursor Agent</t>
        </is>
      </c>
      <c r="N42" s="14" t="inlineStr">
        <is>
          <t>2026-07-31</t>
        </is>
      </c>
    </row>
    <row r="43" ht="45" customHeight="1">
      <c r="A43" s="14" t="inlineStr">
        <is>
          <t>CFG-N02</t>
        </is>
      </c>
      <c r="B43" s="14" t="inlineStr">
        <is>
          <t>CONFIG</t>
        </is>
      </c>
      <c r="C43" s="14" t="inlineStr">
        <is>
          <t>SELECT mutabaah tanpa opsi ditolak</t>
        </is>
      </c>
      <c r="D43" s="17" t="inlineStr">
        <is>
          <t>Negatif</t>
        </is>
      </c>
      <c r="E43" s="32" t="inlineStr">
        <is>
          <t>P1</t>
        </is>
      </c>
      <c r="F43" s="14" t="inlineStr">
        <is>
          <t>ADMIN</t>
        </is>
      </c>
      <c r="G43" s="14" t="inlineStr">
        <is>
          <t>Form tambah field SELECT</t>
        </is>
      </c>
      <c r="H43" s="14" t="inlineStr">
        <is>
          <t>1. Tipe SELECT tanpa pilihan
2. Submit</t>
        </is>
      </c>
      <c r="I43" s="14" t="inlineStr">
        <is>
          <t>Error minimal satu pilihan wajib</t>
        </is>
      </c>
      <c r="J43" s="14" t="inlineStr">
        <is>
          <t>—</t>
        </is>
      </c>
      <c r="K43" s="30" t="inlineStr">
        <is>
          <t>Skip</t>
        </is>
      </c>
      <c r="L43" s="14" t="inlineStr">
        <is>
          <t>skip: validasi SELECT tanpa opsi bergantung form tambah interaktif penuh</t>
        </is>
      </c>
      <c r="M43" s="14" t="inlineStr">
        <is>
          <t>Cursor Agent</t>
        </is>
      </c>
      <c r="N43" s="14" t="inlineStr">
        <is>
          <t>2026-07-31</t>
        </is>
      </c>
    </row>
    <row r="44" ht="51" customHeight="1">
      <c r="A44" s="14" t="inlineStr">
        <is>
          <t>NTF-01</t>
        </is>
      </c>
      <c r="B44" s="14" t="inlineStr">
        <is>
          <t>NOTIFIKASI</t>
        </is>
      </c>
      <c r="C44" s="14" t="inlineStr">
        <is>
          <t>List notifikasi unread/read</t>
        </is>
      </c>
      <c r="D44" s="15" t="inlineStr">
        <is>
          <t>Happy</t>
        </is>
      </c>
      <c r="E44" s="32" t="inlineStr">
        <is>
          <t>P1</t>
        </is>
      </c>
      <c r="F44" s="14" t="inlineStr">
        <is>
          <t>Semua</t>
        </is>
      </c>
      <c r="G44" s="14" t="inlineStr">
        <is>
          <t>Ada notifikasi (mis. dari KKS/undangan) atau seed</t>
        </is>
      </c>
      <c r="H44" s="14" t="inlineStr">
        <is>
          <t>1. Buka /notifications
2. Verifikasi title, body, tanggal
3. Bedakan unread vs read secara visual</t>
        </is>
      </c>
      <c r="I44" s="14" t="inlineStr">
        <is>
          <t>List load; empty state jelas jika kosong</t>
        </is>
      </c>
      <c r="J44" s="14" t="inlineStr">
        <is>
          <t>—</t>
        </is>
      </c>
      <c r="K44" s="29" t="inlineStr">
        <is>
          <t>Pass</t>
        </is>
      </c>
      <c r="L44" s="14" t="inlineStr"/>
      <c r="M44" s="14" t="inlineStr">
        <is>
          <t>Cursor Agent</t>
        </is>
      </c>
      <c r="N44" s="14" t="inlineStr">
        <is>
          <t>2026-07-31</t>
        </is>
      </c>
    </row>
    <row r="45" ht="45" customHeight="1">
      <c r="A45" s="14" t="inlineStr">
        <is>
          <t>NTF-02</t>
        </is>
      </c>
      <c r="B45" s="14" t="inlineStr">
        <is>
          <t>NOTIFIKASI</t>
        </is>
      </c>
      <c r="C45" s="14" t="inlineStr">
        <is>
          <t>Tandai semua dibaca</t>
        </is>
      </c>
      <c r="D45" s="15" t="inlineStr">
        <is>
          <t>Happy</t>
        </is>
      </c>
      <c r="E45" s="32" t="inlineStr">
        <is>
          <t>P1</t>
        </is>
      </c>
      <c r="F45" s="14" t="inlineStr">
        <is>
          <t>SUPERADMIN / role dengan unread</t>
        </is>
      </c>
      <c r="G45" s="14" t="inlineStr">
        <is>
          <t>unreadCount &gt; 0</t>
        </is>
      </c>
      <c r="H45" s="14" t="inlineStr">
        <is>
          <t>1. Klik Tandai dibaca (semua)
2. Refresh — unread hilang/berkurang</t>
        </is>
      </c>
      <c r="I45" s="14" t="inlineStr">
        <is>
          <t>Semua notifikasi marked read</t>
        </is>
      </c>
      <c r="J45" s="14" t="inlineStr">
        <is>
          <t>—</t>
        </is>
      </c>
      <c r="K45" s="30" t="inlineStr">
        <is>
          <t>Skip</t>
        </is>
      </c>
      <c r="L45" s="14" t="inlineStr">
        <is>
          <t>skip: tidak ada unread / tombol tandai dibaca</t>
        </is>
      </c>
      <c r="M45" s="14" t="inlineStr">
        <is>
          <t>Cursor Agent</t>
        </is>
      </c>
      <c r="N45" s="14" t="inlineStr">
        <is>
          <t>2026-07-31</t>
        </is>
      </c>
    </row>
    <row r="46" ht="45" customHeight="1">
      <c r="A46" s="14" t="inlineStr">
        <is>
          <t>NTF-N01</t>
        </is>
      </c>
      <c r="B46" s="14" t="inlineStr">
        <is>
          <t>NOTIFIKASI</t>
        </is>
      </c>
      <c r="C46" s="14" t="inlineStr">
        <is>
          <t>Empty state tidak ada notifikasi</t>
        </is>
      </c>
      <c r="D46" s="18" t="inlineStr">
        <is>
          <t>Smoke</t>
        </is>
      </c>
      <c r="E46" s="32" t="inlineStr">
        <is>
          <t>P1</t>
        </is>
      </c>
      <c r="F46" s="14" t="inlineStr">
        <is>
          <t>User tanpa notifikasi</t>
        </is>
      </c>
      <c r="G46" s="14" t="inlineStr">
        <is>
          <t>Akun baru / sudah dibaca semua</t>
        </is>
      </c>
      <c r="H46" s="14" t="inlineStr">
        <is>
          <t>1. Buka /notifications</t>
        </is>
      </c>
      <c r="I46" s="14" t="inlineStr">
        <is>
          <t>Pesan Tidak ada notifikasi (atau setara); tidak crash</t>
        </is>
      </c>
      <c r="J46" s="14" t="inlineStr">
        <is>
          <t>—</t>
        </is>
      </c>
      <c r="K46" s="29" t="inlineStr">
        <is>
          <t>Pass</t>
        </is>
      </c>
      <c r="L46" s="14" t="inlineStr"/>
      <c r="M46" s="14" t="inlineStr">
        <is>
          <t>Cursor Agent</t>
        </is>
      </c>
      <c r="N46" s="14" t="inlineStr">
        <is>
          <t>2026-07-31</t>
        </is>
      </c>
    </row>
    <row r="47" ht="45" customHeight="1">
      <c r="A47" s="14" t="inlineStr">
        <is>
          <t>LDR-01</t>
        </is>
      </c>
      <c r="B47" s="14" t="inlineStr">
        <is>
          <t>LEADERBOARD</t>
        </is>
      </c>
      <c r="C47" s="14" t="inlineStr">
        <is>
          <t>Direct URL leaderboard menampilkan ranking</t>
        </is>
      </c>
      <c r="D47" s="18" t="inlineStr">
        <is>
          <t>Smoke</t>
        </is>
      </c>
      <c r="E47" s="32" t="inlineStr">
        <is>
          <t>P1</t>
        </is>
      </c>
      <c r="F47" s="14" t="inlineStr">
        <is>
          <t>PEMBINA / ANGGOTA</t>
        </is>
      </c>
      <c r="G47" s="14" t="inlineStr">
        <is>
          <t>Ada poin dari evaluasi/event/mutabaah</t>
        </is>
      </c>
      <c r="H47" s="14" t="inlineStr">
        <is>
          <t>1. Buka langsung /leaderboard (tidak di sidebar)
2. Verifikasi daftar ranking + poin</t>
        </is>
      </c>
      <c r="I47" s="14" t="inlineStr">
        <is>
          <t>Halaman load; ranking tampil (atau empty state)</t>
        </is>
      </c>
      <c r="J47" s="14" t="inlineStr">
        <is>
          <t>Catatan: route orphan — tidak di nav</t>
        </is>
      </c>
      <c r="K47" s="29" t="inlineStr">
        <is>
          <t>Pass</t>
        </is>
      </c>
      <c r="L47" s="14" t="inlineStr"/>
      <c r="M47" s="14" t="inlineStr">
        <is>
          <t>Cursor Agent</t>
        </is>
      </c>
      <c r="N47" s="14" t="inlineStr">
        <is>
          <t>2026-07-31</t>
        </is>
      </c>
    </row>
    <row r="48" ht="45" customHeight="1">
      <c r="A48" s="14" t="inlineStr">
        <is>
          <t>LDR-N01</t>
        </is>
      </c>
      <c r="B48" s="14" t="inlineStr">
        <is>
          <t>LEADERBOARD</t>
        </is>
      </c>
      <c r="C48" s="14" t="inlineStr">
        <is>
          <t>Tanpa auth → login</t>
        </is>
      </c>
      <c r="D48" s="17" t="inlineStr">
        <is>
          <t>Negatif</t>
        </is>
      </c>
      <c r="E48" s="32" t="inlineStr">
        <is>
          <t>P1</t>
        </is>
      </c>
      <c r="F48" s="14" t="inlineStr">
        <is>
          <t>Public</t>
        </is>
      </c>
      <c r="G48" s="14" t="inlineStr">
        <is>
          <t>Logout</t>
        </is>
      </c>
      <c r="H48" s="14" t="inlineStr">
        <is>
          <t>1. Buka /leaderboard</t>
        </is>
      </c>
      <c r="I48" s="14" t="inlineStr">
        <is>
          <t>Redirect /login</t>
        </is>
      </c>
      <c r="J48" s="14" t="inlineStr">
        <is>
          <t>—</t>
        </is>
      </c>
      <c r="K48" s="29" t="inlineStr">
        <is>
          <t>Pass</t>
        </is>
      </c>
      <c r="L48" s="14" t="inlineStr"/>
      <c r="M48" s="14" t="inlineStr">
        <is>
          <t>Cursor Agent</t>
        </is>
      </c>
      <c r="N48" s="14" t="inlineStr">
        <is>
          <t>2026-07-31</t>
        </is>
      </c>
    </row>
    <row r="49" ht="73" customHeight="1">
      <c r="A49" s="14" t="inlineStr">
        <is>
          <t>E2E-P1-01</t>
        </is>
      </c>
      <c r="B49" s="14" t="inlineStr">
        <is>
          <t>E2E</t>
        </is>
      </c>
      <c r="C49" s="14" t="inlineStr">
        <is>
          <t>Journey: event check-in → approve → poin</t>
        </is>
      </c>
      <c r="D49" s="15" t="inlineStr">
        <is>
          <t>Happy</t>
        </is>
      </c>
      <c r="E49" s="32" t="inlineStr">
        <is>
          <t>P1</t>
        </is>
      </c>
      <c r="F49" s="14" t="inlineStr">
        <is>
          <t>ADMIN → ANGGOTA → PEMBINA</t>
        </is>
      </c>
      <c r="G49" s="14" t="inlineStr">
        <is>
          <t>Env siap; catat judul event uji</t>
        </is>
      </c>
      <c r="H49" s="14" t="inlineStr">
        <is>
          <t>1. Admin buat event ongoing (level &amp; sekolah anggota)
2. Anggota check-in + foto
3. Pembina setujui
4. Verifikasi poin anggota
5. (Opsional) cek /leaderboard &amp; notifikasi</t>
        </is>
      </c>
      <c r="I49" s="14" t="inlineStr">
        <is>
          <t>Rantai event→poin konsisten di UI</t>
        </is>
      </c>
      <c r="J49" s="14" t="inlineStr">
        <is>
          <t>Email/akun seed</t>
        </is>
      </c>
      <c r="K49" s="29" t="inlineStr">
        <is>
          <t>Pass</t>
        </is>
      </c>
      <c r="L49" s="14" t="inlineStr"/>
      <c r="M49" s="14" t="inlineStr">
        <is>
          <t>Cursor Agent</t>
        </is>
      </c>
      <c r="N49" s="14" t="inlineStr">
        <is>
          <t>2026-07-31</t>
        </is>
      </c>
    </row>
    <row r="50" ht="51" customHeight="1">
      <c r="A50" s="14" t="inlineStr">
        <is>
          <t>E2E-P1-02</t>
        </is>
      </c>
      <c r="B50" s="14" t="inlineStr">
        <is>
          <t>E2E</t>
        </is>
      </c>
      <c r="C50" s="14" t="inlineStr">
        <is>
          <t>Journey: config mutabaah → isi → submit → pembina lihat</t>
        </is>
      </c>
      <c r="D50" s="15" t="inlineStr">
        <is>
          <t>Happy</t>
        </is>
      </c>
      <c r="E50" s="32" t="inlineStr">
        <is>
          <t>P1</t>
        </is>
      </c>
      <c r="F50" s="14" t="inlineStr">
        <is>
          <t>ADMIN → ANGGOTA → PEMBINA</t>
        </is>
      </c>
      <c r="G50" s="14" t="inlineStr">
        <is>
          <t>Master mutabaah ada</t>
        </is>
      </c>
      <c r="H50" s="14" t="inlineStr">
        <is>
          <t>1. Admin pastikan master mutabaah untuk level anggota
2. Anggota isi &amp; kirim mutabaah pekan ini
3. Pembina buka detail anggota → lihat mutabaah submitted + poin +2</t>
        </is>
      </c>
      <c r="I50" s="14" t="inlineStr">
        <is>
          <t>Data mutabaah &amp; poin konsisten</t>
        </is>
      </c>
      <c r="J50" s="14" t="inlineStr">
        <is>
          <t>—</t>
        </is>
      </c>
      <c r="K50" s="29" t="inlineStr">
        <is>
          <t>Pass</t>
        </is>
      </c>
      <c r="L50" s="14" t="inlineStr"/>
      <c r="M50" s="14" t="inlineStr">
        <is>
          <t>Cursor Agent</t>
        </is>
      </c>
      <c r="N50" s="14" t="inlineStr">
        <is>
          <t>2026-07-31</t>
        </is>
      </c>
    </row>
  </sheetData>
  <autoFilter ref="A4:N50"/>
  <mergeCells count="1">
    <mergeCell ref="A1:N1"/>
  </mergeCells>
  <dataValidations count="1">
    <dataValidation sqref="K5:K50" showDropDown="0" showInputMessage="0" showErrorMessage="0" allowBlank="1" type="list">
      <formula1>"Not Run,Pass,Fail,Blocked,Skip"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2" customWidth="1" min="4" max="4"/>
  </cols>
  <sheetData>
    <row r="1">
      <c r="A1" s="1" t="inlineStr">
        <is>
          <t>Checklist Cepat P1 (45–60 menit)</t>
        </is>
      </c>
    </row>
    <row r="3">
      <c r="A3" s="6" t="inlineStr">
        <is>
          <t>#</t>
        </is>
      </c>
      <c r="B3" s="6" t="inlineStr">
        <is>
          <t>Checklist</t>
        </is>
      </c>
      <c r="C3" s="6" t="inlineStr">
        <is>
          <t>Role</t>
        </is>
      </c>
      <c r="D3" s="6" t="inlineStr">
        <is>
          <t>Done (✓)</t>
        </is>
      </c>
    </row>
    <row r="4">
      <c r="A4" s="12" t="n">
        <v>1</v>
      </c>
      <c r="B4" s="4" t="inlineStr">
        <is>
          <t>Buat 1 event ongoing (Admin/PJ)</t>
        </is>
      </c>
      <c r="C4" s="4" t="inlineStr">
        <is>
          <t>Admin/PJ</t>
        </is>
      </c>
      <c r="D4" s="4" t="inlineStr"/>
    </row>
    <row r="5">
      <c r="A5" s="12" t="n">
        <v>2</v>
      </c>
      <c r="B5" s="4" t="inlineStr">
        <is>
          <t>Anggota check-in + foto</t>
        </is>
      </c>
      <c r="C5" s="4" t="inlineStr">
        <is>
          <t>Anggota</t>
        </is>
      </c>
      <c r="D5" s="4" t="inlineStr"/>
    </row>
    <row r="6">
      <c r="A6" s="12" t="n">
        <v>3</v>
      </c>
      <c r="B6" s="4" t="inlineStr">
        <is>
          <t>Pembina setujui → poin naik</t>
        </is>
      </c>
      <c r="C6" s="4" t="inlineStr">
        <is>
          <t>Pembina</t>
        </is>
      </c>
      <c r="D6" s="4" t="inlineStr"/>
    </row>
    <row r="7">
      <c r="A7" s="12" t="n">
        <v>4</v>
      </c>
      <c r="B7" s="4" t="inlineStr">
        <is>
          <t>Publikasi 1 materi (link atau file)</t>
        </is>
      </c>
      <c r="C7" s="4" t="inlineStr">
        <is>
          <t>Admin</t>
        </is>
      </c>
      <c r="D7" s="4" t="inlineStr"/>
    </row>
    <row r="8">
      <c r="A8" s="12" t="n">
        <v>5</v>
      </c>
      <c r="B8" s="4" t="inlineStr">
        <is>
          <t>PJ/Pembina buka detail materi</t>
        </is>
      </c>
      <c r="C8" s="4" t="inlineStr">
        <is>
          <t>PJ/Pembina</t>
        </is>
      </c>
      <c r="D8" s="4" t="inlineStr"/>
    </row>
    <row r="9">
      <c r="A9" s="12" t="n">
        <v>6</v>
      </c>
      <c r="B9" s="4" t="inlineStr">
        <is>
          <t>Analitik SA + Analitik PJ load</t>
        </is>
      </c>
      <c r="C9" s="4" t="inlineStr">
        <is>
          <t>SA + PJ</t>
        </is>
      </c>
      <c r="D9" s="4" t="inlineStr"/>
    </row>
    <row r="10">
      <c r="A10" s="12" t="n">
        <v>7</v>
      </c>
      <c r="B10" s="4" t="inlineStr">
        <is>
          <t>Anggota draft + submit mutabaah (+2 poin)</t>
        </is>
      </c>
      <c r="C10" s="4" t="inlineStr">
        <is>
          <t>Anggota</t>
        </is>
      </c>
      <c r="D10" s="4" t="inlineStr"/>
    </row>
    <row r="11">
      <c r="A11" s="12" t="n">
        <v>8</v>
      </c>
      <c r="B11" s="4" t="inlineStr">
        <is>
          <t>Pembina lihat mutabaah di detail anggota</t>
        </is>
      </c>
      <c r="C11" s="4" t="inlineStr">
        <is>
          <t>Pembina</t>
        </is>
      </c>
      <c r="D11" s="4" t="inlineStr"/>
    </row>
    <row r="12">
      <c r="A12" s="12" t="n">
        <v>9</v>
      </c>
      <c r="B12" s="4" t="inlineStr">
        <is>
          <t>SA tambah 1 IC master (atau edit)</t>
        </is>
      </c>
      <c r="C12" s="4" t="inlineStr">
        <is>
          <t>SA</t>
        </is>
      </c>
      <c r="D12" s="4" t="inlineStr"/>
    </row>
    <row r="13">
      <c r="A13" s="12" t="n">
        <v>10</v>
      </c>
      <c r="B13" s="4" t="inlineStr">
        <is>
          <t>Pembina centang progress IC anggota</t>
        </is>
      </c>
      <c r="C13" s="4" t="inlineStr">
        <is>
          <t>Pembina</t>
        </is>
      </c>
      <c r="D13" s="4" t="inlineStr"/>
    </row>
    <row r="14">
      <c r="A14" s="12" t="n">
        <v>11</v>
      </c>
      <c r="B14" s="4" t="inlineStr">
        <is>
          <t>User kirim KKS</t>
        </is>
      </c>
      <c r="C14" s="4" t="inlineStr">
        <is>
          <t>Anggota</t>
        </is>
      </c>
      <c r="D14" s="4" t="inlineStr"/>
    </row>
    <row r="15">
      <c r="A15" s="12" t="n">
        <v>12</v>
      </c>
      <c r="B15" s="4" t="inlineStr">
        <is>
          <t>Admin tandai dibaca/selesai + catatan</t>
        </is>
      </c>
      <c r="C15" s="4" t="inlineStr">
        <is>
          <t>Admin</t>
        </is>
      </c>
      <c r="D15" s="4" t="inlineStr"/>
    </row>
    <row r="16">
      <c r="A16" s="12" t="n">
        <v>13</v>
      </c>
      <c r="B16" s="4" t="inlineStr">
        <is>
          <t>Config mutabaah: buka + 1 perubahan kecil</t>
        </is>
      </c>
      <c r="C16" s="4" t="inlineStr">
        <is>
          <t>Admin</t>
        </is>
      </c>
      <c r="D16" s="4" t="inlineStr"/>
    </row>
    <row r="17">
      <c r="A17" s="12" t="n">
        <v>14</v>
      </c>
      <c r="B17" s="4" t="inlineStr">
        <is>
          <t>Notifikasi: list + tandai dibaca</t>
        </is>
      </c>
      <c r="C17" s="4" t="inlineStr">
        <is>
          <t>SA</t>
        </is>
      </c>
      <c r="D17" s="4" t="inlineStr"/>
    </row>
    <row r="18">
      <c r="A18" s="12" t="n">
        <v>15</v>
      </c>
      <c r="B18" s="4" t="inlineStr">
        <is>
          <t>/leaderboard load via URL langsung</t>
        </is>
      </c>
      <c r="C18" s="4" t="inlineStr">
        <is>
          <t>Anggota</t>
        </is>
      </c>
      <c r="D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2026-07-31T04:44:06Z</dcterms:created>
  <dcterms:modified xmlns:dcterms="http://purl.org/dc/terms/" xmlns:xsi="http://www.w3.org/2001/XMLSchema-instance" xsi:type="dcterms:W3CDTF">2026-07-31T05:46:33Z</dcterms:modified>
</cp:coreProperties>
</file>